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D2205DE-2D59-4431-8A18-524AFC74F5A1}" xr6:coauthVersionLast="47" xr6:coauthVersionMax="47" xr10:uidLastSave="{00000000-0000-0000-0000-000000000000}"/>
  <bookViews>
    <workbookView xWindow="-120" yWindow="-120" windowWidth="38640" windowHeight="15720" xr2:uid="{2CB4D5CF-3A53-4030-8DB7-65000B883B87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0" i="1" l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K176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4" i="1"/>
  <c r="G113" i="1"/>
  <c r="G112" i="1"/>
  <c r="G111" i="1"/>
  <c r="G110" i="1"/>
  <c r="G109" i="1"/>
  <c r="K108" i="1"/>
  <c r="G108" i="1"/>
  <c r="G107" i="1"/>
  <c r="G106" i="1"/>
  <c r="G105" i="1"/>
  <c r="G104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B5" i="1"/>
  <c r="G4" i="1"/>
  <c r="G3" i="1"/>
  <c r="G2" i="1"/>
</calcChain>
</file>

<file path=xl/sharedStrings.xml><?xml version="1.0" encoding="utf-8"?>
<sst xmlns="http://schemas.openxmlformats.org/spreadsheetml/2006/main" count="538" uniqueCount="455">
  <si>
    <t>PLACA</t>
  </si>
  <si>
    <t>CC PROPIETARIO</t>
  </si>
  <si>
    <t>NOMBRES PROPIETARIO</t>
  </si>
  <si>
    <t>DIRECCION PROPIETARIO</t>
  </si>
  <si>
    <t>TEL PROPIETARIO</t>
  </si>
  <si>
    <t>CC CONDUCTOR</t>
  </si>
  <si>
    <t>NOMBRE CONDUCTOR</t>
  </si>
  <si>
    <t>DIRECCION CONDUCTOR</t>
  </si>
  <si>
    <t>TEL CONDUCTOR</t>
  </si>
  <si>
    <t>FV SOAT</t>
  </si>
  <si>
    <t>FV L.CONDUCCION</t>
  </si>
  <si>
    <t>FV Tecnicomecanica</t>
  </si>
  <si>
    <t>TONELADAS</t>
  </si>
  <si>
    <t>id conductor</t>
  </si>
  <si>
    <t>id propietario</t>
  </si>
  <si>
    <t>COMPARENDOS</t>
  </si>
  <si>
    <t>AJE382</t>
  </si>
  <si>
    <t>WILSON ANDRES CANGREJO VARGAS</t>
  </si>
  <si>
    <t>BDA360</t>
  </si>
  <si>
    <t>NUBIA ISABEL MONROY</t>
  </si>
  <si>
    <t>FINCA LAS MAGOLAS - LA MESA</t>
  </si>
  <si>
    <t>VEREDA EL ROSARIO ALTO TENA</t>
  </si>
  <si>
    <t>CRC008</t>
  </si>
  <si>
    <t>ANYELA MAYERLI DUQUE GOMEZ</t>
  </si>
  <si>
    <t>CUB462</t>
  </si>
  <si>
    <t>JONATAN CASTILLO FLOREZ</t>
  </si>
  <si>
    <t>VEREDA LA MARIA ALBAN</t>
  </si>
  <si>
    <t> 13/02/2025</t>
  </si>
  <si>
    <t>ELB367</t>
  </si>
  <si>
    <t>JUAN RINCON RESTREPO</t>
  </si>
  <si>
    <t>VILLAVICENCIO META</t>
  </si>
  <si>
    <t> 15/12/2025</t>
  </si>
  <si>
    <t>EMA133</t>
  </si>
  <si>
    <t>JOSE ANGEL SUAREZ GRIMALDOS</t>
  </si>
  <si>
    <t>sasaima cundinamarca</t>
  </si>
  <si>
    <t>FACATATIVA CUNDINAMARCA</t>
  </si>
  <si>
    <t> 09/12/2026</t>
  </si>
  <si>
    <t>EXZ070</t>
  </si>
  <si>
    <t>YENNY ALEJANDRA GONZALEZ  GOMEZ</t>
  </si>
  <si>
    <t>CRA 72C NO 11 A 72 BOGOTA D. C.</t>
  </si>
  <si>
    <t>GCH246</t>
  </si>
  <si>
    <t>ARMANDO GARZON MORENO</t>
  </si>
  <si>
    <t>TRANSVERSAL 10 #1/71 LOS LLANITOS FACATATIVA</t>
  </si>
  <si>
    <t>GIT990</t>
  </si>
  <si>
    <t>JAROL ANDRES DURAN SALDAÑA</t>
  </si>
  <si>
    <t>DIAGONAL 18 #3-105 VILLA MARIA ETAPA 3 MOSQUERA</t>
  </si>
  <si>
    <t>HJG254</t>
  </si>
  <si>
    <t> 14/12/2024</t>
  </si>
  <si>
    <t>IND177</t>
  </si>
  <si>
    <t>MARTIN ALVARO LOPEZ</t>
  </si>
  <si>
    <t>CARRERA 17 # 16-37 FUNZA</t>
  </si>
  <si>
    <t>KAI138</t>
  </si>
  <si>
    <t>CESAR AUGUSTO CESPEDES PALACIOS</t>
  </si>
  <si>
    <t>KEH220</t>
  </si>
  <si>
    <t>CRISTIAN FERNANDO MARLES TORRES</t>
  </si>
  <si>
    <t>KUL393</t>
  </si>
  <si>
    <t>LUZ NELLY PEÑUELA VASQUEZ</t>
  </si>
  <si>
    <t>LIK420</t>
  </si>
  <si>
    <t>DONAL  GUTIERREZ PULIDO</t>
  </si>
  <si>
    <t>LTA352</t>
  </si>
  <si>
    <t>TRANSPORTES MAVANA SAS</t>
  </si>
  <si>
    <t>km 2 via chia- cajica hda fontanar</t>
  </si>
  <si>
    <t>NOK334</t>
  </si>
  <si>
    <t>YULY STEPHANY ROA CALDERON</t>
  </si>
  <si>
    <t>NOX203</t>
  </si>
  <si>
    <t>LUZ DARY BOBADILLA ROA</t>
  </si>
  <si>
    <t>VEREDA LAGUNETA TENA</t>
  </si>
  <si>
    <t>NO APLICA</t>
  </si>
  <si>
    <t>OBA243</t>
  </si>
  <si>
    <t>PROMOTORA GOMEZ &amp; MENDEZ S.A.S</t>
  </si>
  <si>
    <t>TRANSVERSAL 1BIS #4A - 25 CASA 2 FUNZA</t>
  </si>
  <si>
    <t>OBD011</t>
  </si>
  <si>
    <t>JOSE MAURICIO RATIVA ROMERO</t>
  </si>
  <si>
    <t>OQF427</t>
  </si>
  <si>
    <t>YEISON JERLI CASTILLO PINILLA</t>
  </si>
  <si>
    <t>diagonal 8 1E-13 villas del prado FUNZA</t>
  </si>
  <si>
    <t>DIAGONAL 8 1E-13 VILLAS DEL PRADO BOGOTA D.C.</t>
  </si>
  <si>
    <t>SDF842</t>
  </si>
  <si>
    <t>LUIS GUILLERMO NOVA HILARION</t>
  </si>
  <si>
    <t>SDJ306</t>
  </si>
  <si>
    <t>SET178</t>
  </si>
  <si>
    <t>Cra 101 # 70 a 40</t>
  </si>
  <si>
    <t>cra 22 a # 3 sur madrid</t>
  </si>
  <si>
    <t>SHB454</t>
  </si>
  <si>
    <t>VALDERRAMA BAQUERO JUAN DAVID</t>
  </si>
  <si>
    <t xml:space="preserve">CALLE 3 CRA 9 - 04 ARBELAEZ </t>
  </si>
  <si>
    <t>SJQ704</t>
  </si>
  <si>
    <t>AGROTODO LTDA</t>
  </si>
  <si>
    <t> 28/02/2025</t>
  </si>
  <si>
    <t>SKH821</t>
  </si>
  <si>
    <t>OMAR ARMANDO TORRES TORRES</t>
  </si>
  <si>
    <t>SKO140</t>
  </si>
  <si>
    <t>LAURA DANIELA ALFONSO ROA</t>
  </si>
  <si>
    <t>SET249</t>
  </si>
  <si>
    <t>BATRIVE S.A.S.</t>
  </si>
  <si>
    <t>SKO299</t>
  </si>
  <si>
    <t>CARLOS ALBED SILVIA HEREDIA</t>
  </si>
  <si>
    <t>URBANIZACION VILLACOLINA CASA 83 SASAIMA</t>
  </si>
  <si>
    <t>SKO681</t>
  </si>
  <si>
    <t>SLE817</t>
  </si>
  <si>
    <t>AVICOLA LOS CAMBULOS</t>
  </si>
  <si>
    <t>CARRERA 3A ESTE #90-69 SUR</t>
  </si>
  <si>
    <t>SMY613</t>
  </si>
  <si>
    <t>JULIO CESAR DURAN CASAS</t>
  </si>
  <si>
    <t>SNA462</t>
  </si>
  <si>
    <t>ERNESTO MUÑOZ CASTILLO</t>
  </si>
  <si>
    <t>finca villa lucy vereda guasimal</t>
  </si>
  <si>
    <t>SNB197</t>
  </si>
  <si>
    <t>LUIS ANTONIO TORRES CASTRO</t>
  </si>
  <si>
    <t>SNC418</t>
  </si>
  <si>
    <t>SNE056</t>
  </si>
  <si>
    <t>JOHANN DARIO GARZON CARDENAS</t>
  </si>
  <si>
    <t>trans 10 # 1-71 FACATATIVA</t>
  </si>
  <si>
    <t>trans 10 # 1-71 facatativá</t>
  </si>
  <si>
    <t>1 COMPARENDO (689,455) 10/12/2016</t>
  </si>
  <si>
    <t>SNK427</t>
  </si>
  <si>
    <t>CRA 72C # 11 - 72</t>
  </si>
  <si>
    <t>SNL013</t>
  </si>
  <si>
    <t>JUAN LIBARDO SALCEDO PERILLA</t>
  </si>
  <si>
    <t>SNL014</t>
  </si>
  <si>
    <t>NILSON MOISES ALFONSO BARRETO</t>
  </si>
  <si>
    <t>SNO354</t>
  </si>
  <si>
    <t>MOTOCARGA S.A.S.</t>
  </si>
  <si>
    <t>CARRERA 2A #11B - 18 BARRIO BONET</t>
  </si>
  <si>
    <t>SOC411</t>
  </si>
  <si>
    <t>DIANA PATRICIA BERNAL PALENCIA</t>
  </si>
  <si>
    <t>SOD694</t>
  </si>
  <si>
    <t>LUZ MARINA GORDO RAMIREZ</t>
  </si>
  <si>
    <t>SPR403</t>
  </si>
  <si>
    <t>YEISON  SALCEDO HERRERA</t>
  </si>
  <si>
    <t>SPX104</t>
  </si>
  <si>
    <t>JESUS ANIBAL ORDOñEZ ROSERO</t>
  </si>
  <si>
    <t>SQA785</t>
  </si>
  <si>
    <t>FABIO RAMIREZ GUAQUETA</t>
  </si>
  <si>
    <t>SRD193</t>
  </si>
  <si>
    <t>ALEJANDRO MARTINEZ GALINDO</t>
  </si>
  <si>
    <t>ARBELAEZ BARRIO CENTENARIO</t>
  </si>
  <si>
    <t>SRD194</t>
  </si>
  <si>
    <t>CARMEN CECILIA TARAZONA BAYONA</t>
  </si>
  <si>
    <t>CARRERA 12 #13-26 GARAGOA</t>
  </si>
  <si>
    <t>SRD997</t>
  </si>
  <si>
    <t>SRO136</t>
  </si>
  <si>
    <t>LIZETTE VANESSA RODRIGUEZ SANCHEZ</t>
  </si>
  <si>
    <t>SRO568</t>
  </si>
  <si>
    <t>RODRIGO CARDONA RAMIREZ</t>
  </si>
  <si>
    <t>calle 9 b 69 -51</t>
  </si>
  <si>
    <t>CALLE 10 #4 23 ESTE MANZANA 7 INT 7 CASA 6 EL TREBOL MOSQUERA</t>
  </si>
  <si>
    <t>ACUERDO DE PAGO 27/02/2020</t>
  </si>
  <si>
    <t>SRP189</t>
  </si>
  <si>
    <t>JHAYR ARBEY TORRES GARCIA</t>
  </si>
  <si>
    <t>SRR855</t>
  </si>
  <si>
    <t>JOSE ISRRAEL MARTINEZ PARRA</t>
  </si>
  <si>
    <t>CRA 9 #5-42 TENZA-BOYACA</t>
  </si>
  <si>
    <t>STE103</t>
  </si>
  <si>
    <t>SUA918</t>
  </si>
  <si>
    <t>CARLOS JULIO ALARCON RODRIGUEZ</t>
  </si>
  <si>
    <t>SVA603</t>
  </si>
  <si>
    <t>SVB364</t>
  </si>
  <si>
    <t>COMERCIALIZADORA POLLO ARIARI S.A.S.</t>
  </si>
  <si>
    <t>SVD081</t>
  </si>
  <si>
    <t>SVD754</t>
  </si>
  <si>
    <t>LEASING BOLIVAR SA COMPAÑIA DE FINANCIAMIENTO</t>
  </si>
  <si>
    <t>Carrera 7 #71 - 52 TRR B P12</t>
  </si>
  <si>
    <t>Calle 1 #4 - 3 Ubaque</t>
  </si>
  <si>
    <t>SVE736</t>
  </si>
  <si>
    <t>JHON JAIRO GORDO CELIS</t>
  </si>
  <si>
    <t>Cr 3#5 40 la capilla</t>
  </si>
  <si>
    <t>SVE757</t>
  </si>
  <si>
    <t>CARLOS GERMAN CALDERON TORRES</t>
  </si>
  <si>
    <t>vereda laguneta tena</t>
  </si>
  <si>
    <t>SVE829</t>
  </si>
  <si>
    <t>HERMANOS PATARROYO S.A.S.</t>
  </si>
  <si>
    <t>SVE930</t>
  </si>
  <si>
    <t>WILSON ORLANDO BECERRA CARDOZO</t>
  </si>
  <si>
    <t>CARRERA 1A #22 05</t>
  </si>
  <si>
    <t> 23/10/2024</t>
  </si>
  <si>
    <t>SVF524</t>
  </si>
  <si>
    <t>JOHN JAIME GODOY BARBOSA</t>
  </si>
  <si>
    <t>Calle 5 #8-36 Arbelaez</t>
  </si>
  <si>
    <t>SVO646</t>
  </si>
  <si>
    <t>ALEJANDRA ACOSTA CHACON</t>
  </si>
  <si>
    <t>SWL473</t>
  </si>
  <si>
    <t>ANGEL IGNACIO RIVERA DELGADILLO</t>
  </si>
  <si>
    <t>TAM317</t>
  </si>
  <si>
    <t>FABIAN BERMUDEZ SALINAS</t>
  </si>
  <si>
    <t>Calle 6 # 6 -26</t>
  </si>
  <si>
    <t>THV551</t>
  </si>
  <si>
    <t>GLADY STELLA BELTRAN GARCIA</t>
  </si>
  <si>
    <t>JOSE WILSON BELTRAN GARCIA</t>
  </si>
  <si>
    <t>THW234</t>
  </si>
  <si>
    <t>MARIA ELENA ROJAS PEÑA</t>
  </si>
  <si>
    <t>TJY958</t>
  </si>
  <si>
    <t>BRAULIO CORREA YEPEZ</t>
  </si>
  <si>
    <t>TNB901</t>
  </si>
  <si>
    <t>FLOR MARINA MORA</t>
  </si>
  <si>
    <t>TND676</t>
  </si>
  <si>
    <t>TRANSPORTES CARDONA RODRIGO</t>
  </si>
  <si>
    <t>CALLE 9 B 69 -51</t>
  </si>
  <si>
    <t>TPX480</t>
  </si>
  <si>
    <t>DARIO CABALLERO MUÑOZ</t>
  </si>
  <si>
    <t>TSS590</t>
  </si>
  <si>
    <t>FLOR ALBA LILIBET GARZON GOMEZ</t>
  </si>
  <si>
    <t>TTT887</t>
  </si>
  <si>
    <t>INVERSIONES AGROSANTANDER S.A.S.</t>
  </si>
  <si>
    <t>UFE447</t>
  </si>
  <si>
    <t>ELPIDIA  VILLALBA  ARDILA</t>
  </si>
  <si>
    <t>UFW014</t>
  </si>
  <si>
    <t>UFW682</t>
  </si>
  <si>
    <t>GLORIA GAMBA TORRES</t>
  </si>
  <si>
    <t>CALLE 75C #105A - 15</t>
  </si>
  <si>
    <t>UPN148</t>
  </si>
  <si>
    <t>CRISTHIAN DAVID MORALES LOPEZ</t>
  </si>
  <si>
    <t>UQA241</t>
  </si>
  <si>
    <t>JOSE ARLEY LOPEZ</t>
  </si>
  <si>
    <t>USB969</t>
  </si>
  <si>
    <t>UYY852</t>
  </si>
  <si>
    <t>ALEXANDER PRECIADO BUENO</t>
  </si>
  <si>
    <t>VEK264</t>
  </si>
  <si>
    <t>RENTING COLOMBIA S.A.S.</t>
  </si>
  <si>
    <t>VEK727</t>
  </si>
  <si>
    <t>LUIS FERNANDO CARDENAS SALINAS</t>
  </si>
  <si>
    <t>VIK506</t>
  </si>
  <si>
    <t>BRAYAN ALEXIS SUAREZ ARCE</t>
  </si>
  <si>
    <t>VMT301</t>
  </si>
  <si>
    <t>cra 9 # 25 a 75 mosquera</t>
  </si>
  <si>
    <t>WFI710</t>
  </si>
  <si>
    <t>COPERATIVA DE PRODUCCION Y TRABAJO VENCEDOR COOPVENCEDOR</t>
  </si>
  <si>
    <t xml:space="preserve">km 63 via Bogotá- villeta </t>
  </si>
  <si>
    <t>calle 2 # 3 - 19 alban</t>
  </si>
  <si>
    <t>310310 8620</t>
  </si>
  <si>
    <t>1 COMPARENDO (257,500)</t>
  </si>
  <si>
    <t>WHK426</t>
  </si>
  <si>
    <t>NESTOR ANDRES SABOGAL GORDO</t>
  </si>
  <si>
    <t>WLX851</t>
  </si>
  <si>
    <t>WILIAN MONSALVE CASTRO</t>
  </si>
  <si>
    <t>WNX547</t>
  </si>
  <si>
    <t>JHON SEBASTIAN CASTELBLANCO CONTRERAS</t>
  </si>
  <si>
    <t> 18/04/2025</t>
  </si>
  <si>
    <t>WPK570</t>
  </si>
  <si>
    <t>LUIS MARTIN CHAVES  RODRIGUEZ</t>
  </si>
  <si>
    <t>CARRERA 9# 5-12 TENZA</t>
  </si>
  <si>
    <t>WPQ150</t>
  </si>
  <si>
    <t>BANCOLOMBIA S.A.</t>
  </si>
  <si>
    <t>CARRERA 48 #26 - 85</t>
  </si>
  <si>
    <t>WPT522</t>
  </si>
  <si>
    <t>SAUL IGNACIO PATARROYO MAYORGA</t>
  </si>
  <si>
    <t>WPT526</t>
  </si>
  <si>
    <t>CARLOS CENEN RAMIREZ VEGA</t>
  </si>
  <si>
    <t>WZH091</t>
  </si>
  <si>
    <t>MAURO ALFONSO BULLA</t>
  </si>
  <si>
    <t>calle 5 # 10 - 20 tenza</t>
  </si>
  <si>
    <t>WZH466</t>
  </si>
  <si>
    <t>MANUEL FERNANDO PINTO PINTO</t>
  </si>
  <si>
    <t>cra 6 # 12- 35 guateque</t>
  </si>
  <si>
    <t>MANZAN N CASA 3 BARRIO LA QUINTA guateque</t>
  </si>
  <si>
    <t>XJA148</t>
  </si>
  <si>
    <t>JOHANA ANDREA CASTILLO VARGAS</t>
  </si>
  <si>
    <t>XJA443</t>
  </si>
  <si>
    <t>XKD935</t>
  </si>
  <si>
    <t>INVERSIONES BAQUERO CUBILLOS SAS</t>
  </si>
  <si>
    <t>VEREDA STA BARBARA ARBELAEZ VDA SANTA BARBARA FCA LAS DELICIAS</t>
  </si>
  <si>
    <t>Calle 1D N° 1-34. ARBELAEZ</t>
  </si>
  <si>
    <t>XKF301</t>
  </si>
  <si>
    <t>XMD166</t>
  </si>
  <si>
    <t>JHON FREDY PARRA ESPITIA</t>
  </si>
  <si>
    <t>XUF180</t>
  </si>
  <si>
    <t>DAIRO ARVEY ORIGUA AYALA</t>
  </si>
  <si>
    <t>XUF241</t>
  </si>
  <si>
    <t>BENEDICTO ORTIZ ORTIZ</t>
  </si>
  <si>
    <t xml:space="preserve"> 29/11/2025</t>
  </si>
  <si>
    <t>XVU026</t>
  </si>
  <si>
    <t>LUIS ALEJANDRO SANCHEZ RODRIGUEZ</t>
  </si>
  <si>
    <t>XXB191</t>
  </si>
  <si>
    <t>HENRY YOBANI ESGUERRA CACERES</t>
  </si>
  <si>
    <t xml:space="preserve">cra 11 # 3-72 tenza </t>
  </si>
  <si>
    <t>AGF069</t>
  </si>
  <si>
    <t>PARTICULAR</t>
  </si>
  <si>
    <t>AMC525</t>
  </si>
  <si>
    <t>AQD045</t>
  </si>
  <si>
    <t>BERTILDA PEREZ DE GUTIERREZ</t>
  </si>
  <si>
    <t>ASG748</t>
  </si>
  <si>
    <t>DANIEL FELIPE VARGAS CANGREJO</t>
  </si>
  <si>
    <t>diagonal 9 b # 2 -37 arbelaez</t>
  </si>
  <si>
    <t>CHN307</t>
  </si>
  <si>
    <t>ORLANDO MORENO VALERO</t>
  </si>
  <si>
    <t>CLC335</t>
  </si>
  <si>
    <t>calle 12a #71B 61 BARRIO alsacia</t>
  </si>
  <si>
    <t>CALLE 12A #71B 61 BARRIO ALSACIA BOGOTA D.C.</t>
  </si>
  <si>
    <t>EQQ281</t>
  </si>
  <si>
    <t>FDA764</t>
  </si>
  <si>
    <t>BENEDICTO ORTIZ</t>
  </si>
  <si>
    <t>FDF049</t>
  </si>
  <si>
    <t>MARCO FERNANDO ROJAS CAGUA</t>
  </si>
  <si>
    <t>Diagonal 9 #2-28 Arbelaez</t>
  </si>
  <si>
    <t>FSU597</t>
  </si>
  <si>
    <t>JUAN JOSE MORA VALLEJO</t>
  </si>
  <si>
    <t>FUJ607</t>
  </si>
  <si>
    <t>GMC613</t>
  </si>
  <si>
    <t>cra 5 # 6-28 la capilla</t>
  </si>
  <si>
    <t>2 MULTAS Y 1 COMPARENDO (1'779.352) 2021</t>
  </si>
  <si>
    <t>HMF264</t>
  </si>
  <si>
    <t>JORGE LIBARDO ROJAS PAEZ</t>
  </si>
  <si>
    <t>HUH024</t>
  </si>
  <si>
    <t>YESID PULIDO RAMOS</t>
  </si>
  <si>
    <t>IPD188</t>
  </si>
  <si>
    <t>pachavita vereda aguaquiña</t>
  </si>
  <si>
    <t>30/10/2021</t>
  </si>
  <si>
    <t>21/06/2024</t>
  </si>
  <si>
    <t>JAE942</t>
  </si>
  <si>
    <t>JAIME ANDRES MORA BAQUERO</t>
  </si>
  <si>
    <t>1 COMPARENDO (468,500)</t>
  </si>
  <si>
    <t>JRY838</t>
  </si>
  <si>
    <t>DEHIBER ANDRES BOHORQUEZ CARVAJAL</t>
  </si>
  <si>
    <t>JTY341</t>
  </si>
  <si>
    <t>TRANSPORTES CARDONA RODRIGO SAS</t>
  </si>
  <si>
    <t>CALLE 9B 69 51</t>
  </si>
  <si>
    <t>JTZ488</t>
  </si>
  <si>
    <t>MARITZA ACOSTA CHACON</t>
  </si>
  <si>
    <t>CARRERA 3 #5 40 LA CAPILLA</t>
  </si>
  <si>
    <t>JUZ298</t>
  </si>
  <si>
    <t>Carrera 3 #5 40 la capilla boyaca</t>
  </si>
  <si>
    <t>JVK778</t>
  </si>
  <si>
    <t>FILLER BERNETH BARRETO MORENO</t>
  </si>
  <si>
    <t>Calle 9a #13_48 Garagoa Boyacá</t>
  </si>
  <si>
    <t>VILLETA CUNDINAMARCA</t>
  </si>
  <si>
    <t>KMY499</t>
  </si>
  <si>
    <t>KMY692</t>
  </si>
  <si>
    <t>DIEGO RODRIGUEZ QUINTERO</t>
  </si>
  <si>
    <t>Calle 21 Sur 10 46 Este</t>
  </si>
  <si>
    <t>KNM294</t>
  </si>
  <si>
    <t>BANCO DAVIVIENDA S.A</t>
  </si>
  <si>
    <t>CR 2 36 60 SOACHA</t>
  </si>
  <si>
    <t>KUK903</t>
  </si>
  <si>
    <t>JOSE JOAQUIN FLOREZ ALVAREZ</t>
  </si>
  <si>
    <t>LFQ638</t>
  </si>
  <si>
    <t>LUIS ANTONIO ROJAS ORTIZ</t>
  </si>
  <si>
    <t>LHT780</t>
  </si>
  <si>
    <t>TRANSROCAR</t>
  </si>
  <si>
    <t>LPY273</t>
  </si>
  <si>
    <t>TRANSPORTES LIMICIO LTDA</t>
  </si>
  <si>
    <t>Carrera 9 25 A 75 Funza</t>
  </si>
  <si>
    <t>LPY281</t>
  </si>
  <si>
    <t>OSD675</t>
  </si>
  <si>
    <t>FAVIO ERNESTO LOPEZ HERNANDEZ</t>
  </si>
  <si>
    <t>SAK206</t>
  </si>
  <si>
    <t>ISIDRO MIGUEL VARGAS MORA</t>
  </si>
  <si>
    <t>SAK539</t>
  </si>
  <si>
    <t>SBV274</t>
  </si>
  <si>
    <t>NICOLAS ANDRES GONZALEZ RODRIGUEZ</t>
  </si>
  <si>
    <t>SJQ646</t>
  </si>
  <si>
    <t>LOZANO AMAYA WILFREDO</t>
  </si>
  <si>
    <t>1 MULTA Y 1 COMPARENDO (507,156) 2021</t>
  </si>
  <si>
    <t>SKG744</t>
  </si>
  <si>
    <t>SKM946</t>
  </si>
  <si>
    <t>SKY312</t>
  </si>
  <si>
    <t>RODRIGO OVALLE MORENO</t>
  </si>
  <si>
    <t>SMR430</t>
  </si>
  <si>
    <t>CRISTIAN CAMILO MORENO RAMIREZ</t>
  </si>
  <si>
    <t>VEREDA TABLANCA - FINCA LAS MERCEDES</t>
  </si>
  <si>
    <t>SNT050</t>
  </si>
  <si>
    <t>SOP199</t>
  </si>
  <si>
    <t>SOQ402</t>
  </si>
  <si>
    <t>SIN MATRICULA</t>
  </si>
  <si>
    <t>SRM119</t>
  </si>
  <si>
    <t>JOSE ALEXANDER CASALLAS BARON</t>
  </si>
  <si>
    <t>SRO552</t>
  </si>
  <si>
    <t>STO593</t>
  </si>
  <si>
    <t>OSCAR MAURICIO MONTAÑA PIRAGUATA</t>
  </si>
  <si>
    <t>Aquitania Boyaca</t>
  </si>
  <si>
    <t>COMPARENO (506,454) 07/12/2022</t>
  </si>
  <si>
    <t>SVE606</t>
  </si>
  <si>
    <t>Calle 23A#239 Barrio El Hato</t>
  </si>
  <si>
    <t>ACUERDO (60,947 PEND.)</t>
  </si>
  <si>
    <t>SWR115</t>
  </si>
  <si>
    <t>MARISOL MALDONADO MORA</t>
  </si>
  <si>
    <t>FUSAGASUGA</t>
  </si>
  <si>
    <t>1 COMPARENDO (522,795)</t>
  </si>
  <si>
    <t>SXW283</t>
  </si>
  <si>
    <t>JOSE WILSON CHACON VELOSA</t>
  </si>
  <si>
    <t>CR 87 F 58C 24 SUR</t>
  </si>
  <si>
    <t>SYR577</t>
  </si>
  <si>
    <t>JORGE RICARDO MURILLO SANTOS</t>
  </si>
  <si>
    <t>SZX465</t>
  </si>
  <si>
    <t>SZZ073</t>
  </si>
  <si>
    <t>cra 48 # 41-95</t>
  </si>
  <si>
    <t>TAM080</t>
  </si>
  <si>
    <t>TAM081</t>
  </si>
  <si>
    <t>1 COMPARENDO (332,010) 19/07/2003</t>
  </si>
  <si>
    <t>TBZ901</t>
  </si>
  <si>
    <t>JUAN CARLOS GUERRERO MARTIN</t>
  </si>
  <si>
    <t>TFT564</t>
  </si>
  <si>
    <t>TGK062</t>
  </si>
  <si>
    <t>THQ957</t>
  </si>
  <si>
    <t>LUIS MARTIN CHAVES RODRIGUEZ</t>
  </si>
  <si>
    <t>cra 9 # 5-12 tenza</t>
  </si>
  <si>
    <t>TIP748</t>
  </si>
  <si>
    <t>calle 6 # 6 -26</t>
  </si>
  <si>
    <t>TPX600</t>
  </si>
  <si>
    <t>LUIS LEONARDO GOMEZ JIMENEZ</t>
  </si>
  <si>
    <t>TRB618</t>
  </si>
  <si>
    <t>WILSON DANIEL VARGAS CASALLAS</t>
  </si>
  <si>
    <t>TZT417</t>
  </si>
  <si>
    <t>FREY YONY GONZALEZ  RODRIGUEZ</t>
  </si>
  <si>
    <t>UFU770</t>
  </si>
  <si>
    <t>DIEGO FERNANDO GARZON FLOREZ</t>
  </si>
  <si>
    <t>USD450</t>
  </si>
  <si>
    <t>CESAR ARTEMIO AGUILERA ARDILA</t>
  </si>
  <si>
    <t>San Camilo Casa #8, Quetame</t>
  </si>
  <si>
    <t>USD747</t>
  </si>
  <si>
    <t>UVE539</t>
  </si>
  <si>
    <t>UVE838</t>
  </si>
  <si>
    <t>2 COMPARENDOS (0$)</t>
  </si>
  <si>
    <t>VAK090</t>
  </si>
  <si>
    <t>Cl 15 17 38 boyacá</t>
  </si>
  <si>
    <t>VDA692</t>
  </si>
  <si>
    <t>ORLANDO FRANCO PARRA</t>
  </si>
  <si>
    <t>VKI905</t>
  </si>
  <si>
    <t>MYRIAM ESPERANZA GOMEZ LUENGAS</t>
  </si>
  <si>
    <t>VPB224</t>
  </si>
  <si>
    <t>alban cundinamarca</t>
  </si>
  <si>
    <t>WFI360</t>
  </si>
  <si>
    <t>Vehículo de la empresa (no requiere manifiesto)</t>
  </si>
  <si>
    <t>WGP153</t>
  </si>
  <si>
    <t>JOSE RICARDO PULIDO RODRIGUEZ</t>
  </si>
  <si>
    <t>WLT280</t>
  </si>
  <si>
    <t>LUZ MERY ROA CELIS</t>
  </si>
  <si>
    <t>WMP872</t>
  </si>
  <si>
    <t>WON420</t>
  </si>
  <si>
    <t xml:space="preserve">HECTOR HUGO </t>
  </si>
  <si>
    <t>WSJ314</t>
  </si>
  <si>
    <t>PEDRO PABLO VALDERRAMA DELGADILLO</t>
  </si>
  <si>
    <t>WZH215</t>
  </si>
  <si>
    <t>WZH992</t>
  </si>
  <si>
    <t>Cra 72g 56a 34 sur barrio nuevo chile</t>
  </si>
  <si>
    <t>WZI225</t>
  </si>
  <si>
    <t>CLL 54 C 72B 64 SUR</t>
  </si>
  <si>
    <t> 21/07/2024</t>
  </si>
  <si>
    <t>1 COMPARENDO (1,112.996) 28/06/2021</t>
  </si>
  <si>
    <t>XGJ197</t>
  </si>
  <si>
    <t>PEDRO PABLO CUENCA VARGAS</t>
  </si>
  <si>
    <t>Calle 46 # 1 - 31 E</t>
  </si>
  <si>
    <t>1 COMPARENDO (196,048)</t>
  </si>
  <si>
    <t>XGJ941</t>
  </si>
  <si>
    <t>2 COMPARENDOS (761,100)</t>
  </si>
  <si>
    <t>XLF054</t>
  </si>
  <si>
    <t>XVM387</t>
  </si>
  <si>
    <t>YEIMY ANDREA FRANCO RUBIANO</t>
  </si>
  <si>
    <t>1 MULTA 1 COMPARENDO (1,552,126)</t>
  </si>
  <si>
    <t>ZIE523</t>
  </si>
  <si>
    <t>JORGE LUIS RODRIGUEZ CARPETA</t>
  </si>
  <si>
    <t>ZIJ019</t>
  </si>
  <si>
    <t>COMPARENDOS Y MULTAS</t>
  </si>
  <si>
    <t>PARTICULARES</t>
  </si>
  <si>
    <t>VEHICULOS DE LA EMPRESA</t>
  </si>
  <si>
    <t>SIN CONDUCTOR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</si>
</sst>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1"/>
      <color theme="1"/>
      <name val="Aptos Narrow"/>
      <family val="2"/>
      <scheme val="minor"/>
    </font>
    <font>
      <sz val="11"/>
      <name val="Cambria"/>
      <family val="1"/>
    </font>
    <font>
      <b/>
      <sz val="11"/>
      <name val="Cambria"/>
      <family val="1"/>
    </font>
    <font>
      <b/>
      <sz val="14"/>
      <name val="Cambria"/>
      <family val="1"/>
    </font>
    <font>
      <sz val="11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3" fillId="0" borderId="0" xfId="0" applyNumberFormat="1" applyFont="1"/>
    <xf numFmtId="0" fontId="4" fillId="0" borderId="0" xfId="0" applyFont="1"/>
    <xf numFmtId="0" fontId="4" fillId="2" borderId="0" xfId="0" applyFont="1" applyFill="1"/>
    <xf numFmtId="14" fontId="1" fillId="0" borderId="0" xfId="0" applyNumberFormat="1" applyFont="1" applyAlignment="1">
      <alignment horizontal="center" vertical="center" wrapText="1"/>
    </xf>
    <xf numFmtId="0" fontId="0" fillId="2" borderId="0" xfId="0" applyFill="1"/>
    <xf numFmtId="14" fontId="4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14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/>
    </xf>
    <xf numFmtId="1" fontId="1" fillId="0" borderId="0" xfId="0" applyNumberFormat="1" applyFont="1" applyAlignment="1">
      <alignment horizontal="left" vertical="center"/>
    </xf>
    <xf numFmtId="14" fontId="4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4" fillId="3" borderId="0" xfId="0" applyFont="1" applyFill="1"/>
    <xf numFmtId="0" fontId="0" fillId="3" borderId="0" xfId="0" applyFill="1"/>
    <xf numFmtId="2" fontId="0" fillId="0" borderId="0" xfId="0" applyNumberFormat="1"/>
  </cellXfs>
  <cellStyles count="1">
    <cellStyle name="Normal" xfId="0" builtinId="0"/>
  </cellStyles>
  <dxfs count="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numFmt numFmtId="2" formatCode="0.00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NERO_BACKUP\MANIFIESTO%20DE%20CARGA_B.xlsx" TargetMode="External"/><Relationship Id="rId1" Type="http://schemas.openxmlformats.org/officeDocument/2006/relationships/externalLinkPath" Target="ENERO_BACKUP/MANIFIESTO%20DE%20CARGA_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ROLAMIENTO (2)"/>
      <sheetName val="15 - NOVIEMBRE"/>
      <sheetName val="18 - NOVIEMBRE"/>
      <sheetName val="19 - NOVIEMBRE"/>
      <sheetName val="20 - NOVIEMBRE"/>
      <sheetName val="21 - NOVIEMBRE"/>
      <sheetName val="22 - NOVIEMBRE"/>
      <sheetName val="24 - NOVIEMBRE"/>
      <sheetName val="25 - NOVIEMBRE"/>
      <sheetName val="26 - NOVIEMBRE"/>
      <sheetName val="27 - NOVIEMBRE"/>
      <sheetName val="28 - NOVIEMBRE"/>
      <sheetName val="29 - NOVIEMBRE"/>
      <sheetName val="1 - DICIEMBRE"/>
      <sheetName val="2 - DICIEMBRE"/>
      <sheetName val="3 - DICIEMBRE"/>
      <sheetName val="4 - DICIEMBRE"/>
      <sheetName val="5 - DICIEMBRE"/>
      <sheetName val="6 - DICIEMBRE"/>
      <sheetName val="7 - DICIEMBRE"/>
      <sheetName val="9 - DICIEMBRE"/>
      <sheetName val="10 - DICIEMBRE"/>
      <sheetName val="11 - DICIEMBRE"/>
      <sheetName val="12 - DICIEMBRE"/>
      <sheetName val="13 - DICIEMBRE"/>
      <sheetName val="15 - DICIEMBRE"/>
      <sheetName val="16 - DICIEMBRE"/>
      <sheetName val="17 - DICIEMBRE"/>
      <sheetName val="18 - DICIEMBRE"/>
      <sheetName val="19 - DICIEMBRE"/>
      <sheetName val="20 - DICIEMBRE"/>
      <sheetName val="22 - DICIEMBRE"/>
      <sheetName val="23 - DICIEMBRE"/>
      <sheetName val="24 - DICIEMBRE"/>
      <sheetName val="26 - DICIEMBRE"/>
      <sheetName val="27 - DICIEMBRE"/>
      <sheetName val="28 - DICIEMBRE"/>
      <sheetName val="29 - DICIEMBRe"/>
      <sheetName val="30 - DICIEMBRE"/>
      <sheetName val="2 - ENERO"/>
      <sheetName val="3 - ENERO"/>
      <sheetName val="FORMATO DE REMESA"/>
      <sheetName val="TABLA DINAMICA"/>
      <sheetName val="GRANJAS"/>
      <sheetName val="DATOS TD"/>
      <sheetName val="ENROLAMIENTO"/>
      <sheetName val="CONDUCTORES"/>
      <sheetName val="TOTAL MANIFIESTOS"/>
      <sheetName val="RETROACTIVO"/>
      <sheetName val="NUMERO DE VIAJ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DEAAC0-A8BA-4810-B293-F5B6FF5A2296}" name="Tabla26" displayName="Tabla26" ref="A1:P190" totalsRowShown="0">
  <autoFilter ref="A1:P190" xr:uid="{10DEAAC0-A8BA-4810-B293-F5B6FF5A2296}"/>
  <sortState xmlns:xlrd2="http://schemas.microsoft.com/office/spreadsheetml/2017/richdata2" ref="A2:P190">
    <sortCondition sortBy="cellColor" ref="A1:A190" dxfId="1"/>
  </sortState>
  <tableColumns count="16">
    <tableColumn id="2" xr3:uid="{5B8C8D00-4509-43E4-BA32-76DDA17C75DB}" name="PLACA"/>
    <tableColumn id="3" xr3:uid="{7C747F75-7077-4B7A-A783-71BD0D62BF77}" name="CC PROPIETARIO"/>
    <tableColumn id="11" xr3:uid="{3DE0643F-1DED-4A78-860F-FB380A2FE349}" name="NOMBRES PROPIETARIO"/>
    <tableColumn id="4" xr3:uid="{6CB938FF-69FE-4BBF-B749-65A6398859F2}" name="DIRECCION PROPIETARIO"/>
    <tableColumn id="5" xr3:uid="{796C810F-78AE-4049-A388-BF94C9FB7DBE}" name="TEL PROPIETARIO"/>
    <tableColumn id="6" xr3:uid="{AAAAE257-9BFA-4DBB-9A4E-B3C5BED59D6E}" name="CC CONDUCTOR"/>
    <tableColumn id="12" xr3:uid="{DAD3EC74-FD9D-4742-9512-1ABA0C2924FF}" name="NOMBRE CONDUCTOR"/>
    <tableColumn id="7" xr3:uid="{2C63C167-C8DD-404D-9F42-11C9DE7B1FC7}" name="DIRECCION CONDUCTOR"/>
    <tableColumn id="8" xr3:uid="{AD20D6B2-42EE-4F16-B9E7-0408E88C9E66}" name="TEL CONDUCTOR"/>
    <tableColumn id="9" xr3:uid="{3355E4B7-FF37-4FEB-B8F8-E3D1706E6C89}" name="FV SOAT"/>
    <tableColumn id="10" xr3:uid="{619B8B0C-A08C-4832-A7A6-F1E87B639AED}" name="FV L.CONDUCCION"/>
    <tableColumn id="16" xr3:uid="{EF6D88B7-148D-4347-839E-16E0AE053E71}" name="FV Tecnicomecanica"/>
    <tableColumn id="1" xr3:uid="{2131B194-4C29-4AD5-900C-1371FC0EF5A7}" name="TONELADAS" dataDxfId="0"/>
    <tableColumn id="13" xr3:uid="{9FE04BD0-B609-41D2-A441-03F0B9C4A2DC}" name="id conductor"/>
    <tableColumn id="14" xr3:uid="{F463FF86-4938-4C22-8EE3-9529810C801A}" name="id propietario"/>
    <tableColumn id="15" xr3:uid="{A7EF7E96-77A1-44FD-B22E-AF1872B8C529}" name="COMPARENDOS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C16F-7E2F-49C2-AB37-16A8FD75153D}">
  <dimension ref="A1:AS204"/>
  <sheetViews>
    <sheetView tabSelected="1" workbookViewId="0">
      <selection sqref="A1:XFD1048576"/>
    </sheetView>
  </sheetViews>
  <sheetFormatPr baseColWidth="10" defaultColWidth="10.5703125" defaultRowHeight="15" x14ac:dyDescent="0.25"/>
  <cols>
    <col min="1" max="1" width="12.7109375" bestFit="1" customWidth="1"/>
    <col min="2" max="2" width="35.42578125" bestFit="1" customWidth="1"/>
    <col min="3" max="3" width="45.42578125" customWidth="1"/>
    <col min="4" max="4" width="37.140625" customWidth="1"/>
    <col min="5" max="5" width="24.140625" bestFit="1" customWidth="1"/>
    <col min="6" max="6" width="21.7109375" bestFit="1" customWidth="1"/>
    <col min="7" max="7" width="45.42578125" bestFit="1" customWidth="1"/>
    <col min="8" max="8" width="68.140625" bestFit="1" customWidth="1"/>
    <col min="9" max="9" width="23" bestFit="1" customWidth="1"/>
    <col min="10" max="10" width="20.140625" customWidth="1"/>
    <col min="11" max="11" width="31.42578125" customWidth="1"/>
    <col min="12" max="12" width="29.140625" customWidth="1"/>
    <col min="13" max="13" width="19" style="28" customWidth="1"/>
    <col min="14" max="14" width="18.42578125" bestFit="1" customWidth="1"/>
    <col min="15" max="15" width="19.85546875" bestFit="1" customWidth="1"/>
    <col min="16" max="16" width="48.42578125" bestFit="1" customWidth="1"/>
    <col min="17" max="17" width="18" customWidth="1"/>
    <col min="18" max="18" width="18.42578125" bestFit="1" customWidth="1"/>
  </cols>
  <sheetData>
    <row r="1" spans="1:45" s="10" customFormat="1" ht="18" x14ac:dyDescent="0.25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5" t="s">
        <v>9</v>
      </c>
      <c r="K1" s="5" t="s">
        <v>10</v>
      </c>
      <c r="L1" s="1" t="s">
        <v>11</v>
      </c>
      <c r="M1" s="6" t="s">
        <v>12</v>
      </c>
      <c r="N1" s="2" t="s">
        <v>13</v>
      </c>
      <c r="O1" s="1" t="s">
        <v>14</v>
      </c>
      <c r="P1" s="7" t="s">
        <v>15</v>
      </c>
      <c r="Q1" s="8">
        <v>45658</v>
      </c>
      <c r="R1" s="8">
        <v>46023</v>
      </c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</row>
    <row r="2" spans="1:45" s="12" customFormat="1" x14ac:dyDescent="0.25">
      <c r="A2" s="1" t="s">
        <v>16</v>
      </c>
      <c r="B2" s="2">
        <v>3066952</v>
      </c>
      <c r="C2" s="3" t="s">
        <v>17</v>
      </c>
      <c r="D2" s="1"/>
      <c r="E2" s="1"/>
      <c r="F2" s="2">
        <v>3066952</v>
      </c>
      <c r="G2" s="3" t="str">
        <f>VLOOKUP(Tabla26[[#This Row],[CC CONDUCTOR]],[1]!Tabla3[#Data],2,FALSE)</f>
        <v>WILSON ANDRES VARGAS CANGREJO</v>
      </c>
      <c r="H2" s="3"/>
      <c r="I2" s="1"/>
      <c r="J2" s="5">
        <v>46017</v>
      </c>
      <c r="K2" s="11">
        <v>46369</v>
      </c>
      <c r="L2" s="5">
        <v>46038</v>
      </c>
      <c r="M2" s="2">
        <v>10000</v>
      </c>
      <c r="N2" s="2"/>
      <c r="O2" s="1"/>
      <c r="P2" s="7"/>
      <c r="Q2" s="10"/>
      <c r="R2" s="10"/>
      <c r="S2" s="10"/>
    </row>
    <row r="3" spans="1:45" s="12" customFormat="1" x14ac:dyDescent="0.25">
      <c r="A3" s="1" t="s">
        <v>18</v>
      </c>
      <c r="B3" s="2">
        <v>51685646</v>
      </c>
      <c r="C3" s="3" t="s">
        <v>19</v>
      </c>
      <c r="D3" s="1" t="s">
        <v>20</v>
      </c>
      <c r="E3" s="1"/>
      <c r="F3" s="2">
        <v>1070327602</v>
      </c>
      <c r="G3" s="3" t="str">
        <f>VLOOKUP(Tabla26[[#This Row],[CC CONDUCTOR]],[1]!Tabla3[#Data],2,FALSE)</f>
        <v>DAIVE GIOVANNY OLMOS MARTINEZ</v>
      </c>
      <c r="H3" s="3" t="s">
        <v>21</v>
      </c>
      <c r="I3" s="1"/>
      <c r="J3" s="5">
        <v>46075</v>
      </c>
      <c r="K3" s="13">
        <v>46067</v>
      </c>
      <c r="L3" s="5">
        <v>46062</v>
      </c>
      <c r="M3" s="2">
        <v>10000</v>
      </c>
      <c r="N3" s="2"/>
      <c r="O3" s="1"/>
      <c r="P3" s="7"/>
      <c r="Q3" s="10"/>
      <c r="R3" s="10"/>
      <c r="S3" s="10"/>
    </row>
    <row r="4" spans="1:45" s="12" customFormat="1" x14ac:dyDescent="0.25">
      <c r="A4" s="14" t="s">
        <v>22</v>
      </c>
      <c r="B4" s="15">
        <v>1072427036</v>
      </c>
      <c r="C4" s="16" t="s">
        <v>23</v>
      </c>
      <c r="D4" s="14"/>
      <c r="E4" s="14"/>
      <c r="F4" s="15">
        <v>79221443</v>
      </c>
      <c r="G4" s="16" t="str">
        <f>VLOOKUP(Tabla26[[#This Row],[CC CONDUCTOR]],[1]!Tabla3[#Data],2,FALSE)</f>
        <v>EDWIN ALBERTO LOZANO GOMEZ</v>
      </c>
      <c r="H4" s="16"/>
      <c r="I4" s="14"/>
      <c r="J4" s="17">
        <v>46113</v>
      </c>
      <c r="K4" s="17"/>
      <c r="L4" s="17">
        <v>46256</v>
      </c>
      <c r="M4" s="15">
        <v>6000</v>
      </c>
      <c r="N4" s="15"/>
      <c r="O4" s="14"/>
      <c r="P4" s="18"/>
      <c r="Q4" s="10"/>
      <c r="R4" s="10"/>
      <c r="S4" s="10"/>
    </row>
    <row r="5" spans="1:45" s="12" customFormat="1" x14ac:dyDescent="0.25">
      <c r="A5" s="1" t="s">
        <v>24</v>
      </c>
      <c r="B5" s="2">
        <f>VLOOKUP(A5,Tabla26[[PLACA]:[id propietario]],6,FALSE)</f>
        <v>2948514</v>
      </c>
      <c r="C5" s="3" t="s">
        <v>25</v>
      </c>
      <c r="D5" s="1"/>
      <c r="E5" s="1"/>
      <c r="F5" s="2">
        <v>2948514</v>
      </c>
      <c r="G5" s="3" t="str">
        <f>VLOOKUP(Tabla26[[#This Row],[CC CONDUCTOR]],[1]!Tabla3[#Data],2,FALSE)</f>
        <v>JONATAN CASTILLO FLOREZ</v>
      </c>
      <c r="H5" s="3" t="s">
        <v>26</v>
      </c>
      <c r="I5" s="1"/>
      <c r="J5" s="5">
        <v>46065</v>
      </c>
      <c r="K5" s="5">
        <v>46810</v>
      </c>
      <c r="L5" s="5" t="s">
        <v>27</v>
      </c>
      <c r="M5" s="2">
        <v>10000</v>
      </c>
      <c r="N5" s="2"/>
      <c r="O5" s="1"/>
      <c r="P5" s="7"/>
      <c r="Q5" s="10"/>
      <c r="R5" s="10"/>
      <c r="S5" s="10"/>
    </row>
    <row r="6" spans="1:45" s="12" customFormat="1" x14ac:dyDescent="0.25">
      <c r="A6" s="1" t="s">
        <v>28</v>
      </c>
      <c r="B6" s="2">
        <v>17322868</v>
      </c>
      <c r="C6" s="3" t="s">
        <v>29</v>
      </c>
      <c r="D6" s="1"/>
      <c r="E6" s="1"/>
      <c r="F6" s="2">
        <v>91356163</v>
      </c>
      <c r="G6" s="3" t="str">
        <f>VLOOKUP(Tabla26[[#This Row],[CC CONDUCTOR]],[1]!Tabla3[#Data],2,FALSE)</f>
        <v>WILSON GARCIA LANDINEZ</v>
      </c>
      <c r="H6" s="3" t="s">
        <v>30</v>
      </c>
      <c r="I6" s="1"/>
      <c r="J6" s="5">
        <v>46006</v>
      </c>
      <c r="K6" s="13">
        <v>46997</v>
      </c>
      <c r="L6" s="5" t="s">
        <v>31</v>
      </c>
      <c r="M6" s="2">
        <v>6000</v>
      </c>
      <c r="N6" s="2"/>
      <c r="O6" s="1"/>
      <c r="P6" s="7"/>
      <c r="Q6" s="10"/>
      <c r="R6" s="10"/>
      <c r="S6" s="10"/>
    </row>
    <row r="7" spans="1:45" s="12" customFormat="1" x14ac:dyDescent="0.25">
      <c r="A7" s="1" t="s">
        <v>32</v>
      </c>
      <c r="B7" s="2">
        <v>3165993</v>
      </c>
      <c r="C7" s="3" t="s">
        <v>33</v>
      </c>
      <c r="D7" s="1" t="s">
        <v>34</v>
      </c>
      <c r="E7" s="1">
        <v>3157906456</v>
      </c>
      <c r="F7" s="2">
        <v>218401</v>
      </c>
      <c r="G7" s="3" t="str">
        <f>VLOOKUP(Tabla26[[#This Row],[CC CONDUCTOR]],[1]!Tabla3[#Data],2,FALSE)</f>
        <v>CARLOS AUGUSTO REY CORREAL</v>
      </c>
      <c r="H7" s="3" t="s">
        <v>35</v>
      </c>
      <c r="I7" s="1"/>
      <c r="J7" s="5">
        <v>46362</v>
      </c>
      <c r="K7" s="5">
        <v>46303</v>
      </c>
      <c r="L7" s="5" t="s">
        <v>36</v>
      </c>
      <c r="M7" s="2">
        <v>10000</v>
      </c>
      <c r="N7" s="2">
        <v>175884819</v>
      </c>
      <c r="O7" s="1">
        <v>175884689</v>
      </c>
      <c r="P7" s="7"/>
      <c r="Q7" s="10"/>
      <c r="R7" s="10"/>
      <c r="S7" s="10"/>
    </row>
    <row r="8" spans="1:45" x14ac:dyDescent="0.25">
      <c r="A8" s="1" t="s">
        <v>37</v>
      </c>
      <c r="B8" s="2">
        <v>52541478</v>
      </c>
      <c r="C8" s="3" t="s">
        <v>38</v>
      </c>
      <c r="D8" s="1"/>
      <c r="E8" s="1"/>
      <c r="F8" s="2">
        <v>11343390</v>
      </c>
      <c r="G8" s="3" t="str">
        <f>VLOOKUP(Tabla26[[#This Row],[CC CONDUCTOR]],[1]!Tabla3[#Data],2,FALSE)</f>
        <v>OSCAR GOMEZ</v>
      </c>
      <c r="H8" s="3" t="s">
        <v>39</v>
      </c>
      <c r="I8" s="1"/>
      <c r="J8" s="5">
        <v>46286</v>
      </c>
      <c r="K8" s="13">
        <v>46511</v>
      </c>
      <c r="L8" s="5">
        <v>46284</v>
      </c>
      <c r="M8" s="19">
        <v>10000</v>
      </c>
      <c r="N8" s="2"/>
      <c r="O8" s="1"/>
      <c r="P8" s="7"/>
      <c r="Q8" s="9"/>
      <c r="R8" s="9"/>
      <c r="S8" s="9"/>
    </row>
    <row r="9" spans="1:45" s="12" customFormat="1" x14ac:dyDescent="0.25">
      <c r="A9" s="1" t="s">
        <v>40</v>
      </c>
      <c r="B9" s="2">
        <v>19152368</v>
      </c>
      <c r="C9" s="3" t="s">
        <v>41</v>
      </c>
      <c r="D9" s="1"/>
      <c r="E9" s="1"/>
      <c r="F9" s="2">
        <v>81754808</v>
      </c>
      <c r="G9" s="3" t="str">
        <f>VLOOKUP(Tabla26[[#This Row],[CC CONDUCTOR]],[1]!Tabla3[#Data],2,FALSE)</f>
        <v>EDUARD LEONARDO GARZON CARDENAS</v>
      </c>
      <c r="H9" s="3" t="s">
        <v>42</v>
      </c>
      <c r="I9" s="1">
        <v>3138759805</v>
      </c>
      <c r="J9" s="5">
        <v>46246</v>
      </c>
      <c r="K9" s="5">
        <v>47685</v>
      </c>
      <c r="L9" s="5">
        <v>46247</v>
      </c>
      <c r="M9" s="2">
        <v>10000</v>
      </c>
      <c r="N9" s="2"/>
      <c r="O9" s="1"/>
      <c r="P9" s="7"/>
      <c r="Q9" s="10"/>
      <c r="R9" s="10"/>
      <c r="S9" s="10"/>
    </row>
    <row r="10" spans="1:45" s="12" customFormat="1" x14ac:dyDescent="0.25">
      <c r="A10" s="1" t="s">
        <v>43</v>
      </c>
      <c r="B10" s="2">
        <v>1073511288</v>
      </c>
      <c r="C10" s="3" t="s">
        <v>44</v>
      </c>
      <c r="D10" s="1"/>
      <c r="E10" s="1"/>
      <c r="F10" s="2">
        <v>1006656096</v>
      </c>
      <c r="G10" s="3" t="str">
        <f>VLOOKUP(Tabla26[[#This Row],[CC CONDUCTOR]],[1]!Tabla3[#Data],2,FALSE)</f>
        <v>JOHN FAIBER OSORNO HERNANDEZ</v>
      </c>
      <c r="H10" s="3" t="s">
        <v>45</v>
      </c>
      <c r="I10" s="1"/>
      <c r="J10" s="5">
        <v>46071</v>
      </c>
      <c r="K10" s="5">
        <v>46869</v>
      </c>
      <c r="L10" s="5">
        <v>46360</v>
      </c>
      <c r="M10" s="2">
        <v>6000</v>
      </c>
      <c r="N10" s="2"/>
      <c r="O10" s="1"/>
      <c r="P10" s="7"/>
      <c r="Q10" s="10"/>
      <c r="R10" s="10"/>
      <c r="S10" s="10"/>
    </row>
    <row r="11" spans="1:45" x14ac:dyDescent="0.25">
      <c r="A11" s="1" t="s">
        <v>46</v>
      </c>
      <c r="B11" s="2">
        <v>17322868</v>
      </c>
      <c r="C11" s="3" t="s">
        <v>29</v>
      </c>
      <c r="D11" s="1"/>
      <c r="E11" s="1"/>
      <c r="F11" s="2">
        <v>1007859223</v>
      </c>
      <c r="G11" s="3" t="str">
        <f>VLOOKUP(Tabla26[[#This Row],[CC CONDUCTOR]],[1]!Tabla3[#Data],2,FALSE)</f>
        <v>EDWIN MODESTO RODRIGUEZ MORALES</v>
      </c>
      <c r="H11" s="3" t="s">
        <v>30</v>
      </c>
      <c r="I11" s="1"/>
      <c r="J11" s="5" t="s">
        <v>47</v>
      </c>
      <c r="K11" s="20">
        <v>47011</v>
      </c>
      <c r="L11" s="5">
        <v>46036</v>
      </c>
      <c r="M11" s="2">
        <v>10000</v>
      </c>
      <c r="N11" s="2"/>
      <c r="O11" s="1"/>
      <c r="P11" s="7"/>
      <c r="Q11" s="9"/>
      <c r="R11" s="9"/>
      <c r="S11" s="9"/>
    </row>
    <row r="12" spans="1:45" x14ac:dyDescent="0.25">
      <c r="A12" s="1" t="s">
        <v>48</v>
      </c>
      <c r="B12" s="2">
        <v>2964702</v>
      </c>
      <c r="C12" s="3" t="s">
        <v>49</v>
      </c>
      <c r="D12" s="1"/>
      <c r="E12" s="1"/>
      <c r="F12" s="2">
        <v>80119396</v>
      </c>
      <c r="G12" s="3" t="str">
        <f>VLOOKUP(Tabla26[[#This Row],[CC CONDUCTOR]],[1]!Tabla3[#Data],2,FALSE)</f>
        <v>WILMER FERNANDO RODRIGUEZ GONZALEZ</v>
      </c>
      <c r="H12" s="3" t="s">
        <v>50</v>
      </c>
      <c r="I12" s="1"/>
      <c r="J12" s="5">
        <v>46170</v>
      </c>
      <c r="K12" s="20">
        <v>46218</v>
      </c>
      <c r="L12" s="5">
        <v>46349</v>
      </c>
      <c r="M12" s="2">
        <v>10000</v>
      </c>
      <c r="N12" s="2"/>
      <c r="O12" s="1"/>
      <c r="P12" s="7"/>
      <c r="Q12" s="9"/>
      <c r="R12" s="9"/>
      <c r="S12" s="9"/>
    </row>
    <row r="13" spans="1:45" x14ac:dyDescent="0.25">
      <c r="A13" s="1" t="s">
        <v>51</v>
      </c>
      <c r="B13" s="2">
        <v>80141772</v>
      </c>
      <c r="C13" s="3" t="s">
        <v>52</v>
      </c>
      <c r="D13" s="1"/>
      <c r="E13" s="1"/>
      <c r="F13" s="2">
        <v>1070959668</v>
      </c>
      <c r="G13" s="3" t="str">
        <f>VLOOKUP(Tabla26[[#This Row],[CC CONDUCTOR]],[1]!Tabla3[#Data],2,FALSE)</f>
        <v>JEISON FERNEY RAMIREZ RODRIGUEZ</v>
      </c>
      <c r="H13" s="3"/>
      <c r="I13" s="1"/>
      <c r="J13" s="5">
        <v>46074</v>
      </c>
      <c r="K13" s="5">
        <v>46964</v>
      </c>
      <c r="L13" s="5">
        <v>46138</v>
      </c>
      <c r="M13" s="2">
        <v>8000</v>
      </c>
      <c r="N13" s="2"/>
      <c r="O13" s="1"/>
      <c r="P13" s="7"/>
      <c r="Q13" s="9"/>
      <c r="R13" s="9"/>
      <c r="S13" s="9"/>
    </row>
    <row r="14" spans="1:45" x14ac:dyDescent="0.25">
      <c r="A14" s="1" t="s">
        <v>53</v>
      </c>
      <c r="B14" s="2">
        <v>1072592160</v>
      </c>
      <c r="C14" s="3" t="s">
        <v>54</v>
      </c>
      <c r="D14" s="1"/>
      <c r="E14" s="1"/>
      <c r="F14" s="2">
        <v>1127946352</v>
      </c>
      <c r="G14" s="3" t="str">
        <f>VLOOKUP(Tabla26[[#This Row],[CC CONDUCTOR]],[1]!Tabla3[#Data],2,FALSE)</f>
        <v>DISSON FERNEY CORTES VERGARA</v>
      </c>
      <c r="H14" s="3"/>
      <c r="I14" s="1"/>
      <c r="J14" s="5">
        <v>46294</v>
      </c>
      <c r="K14" s="13">
        <v>46146</v>
      </c>
      <c r="L14" s="5">
        <v>46063</v>
      </c>
      <c r="M14" s="2">
        <v>10000</v>
      </c>
      <c r="N14" s="2"/>
      <c r="O14" s="1"/>
      <c r="P14" s="7"/>
      <c r="Q14" s="9"/>
      <c r="R14" s="9"/>
      <c r="S14" s="9"/>
    </row>
    <row r="15" spans="1:45" x14ac:dyDescent="0.25">
      <c r="A15" s="1" t="s">
        <v>55</v>
      </c>
      <c r="B15" s="2">
        <v>52615741</v>
      </c>
      <c r="C15" s="3" t="s">
        <v>56</v>
      </c>
      <c r="D15" s="1"/>
      <c r="E15" s="1"/>
      <c r="F15" s="2">
        <v>1192742430</v>
      </c>
      <c r="G15" s="3" t="str">
        <f>VLOOKUP(Tabla26[[#This Row],[CC CONDUCTOR]],[1]!Tabla3[#Data],2,FALSE)</f>
        <v>KEVIN ANDREY POVEDA PEÑUELA</v>
      </c>
      <c r="H15" s="3"/>
      <c r="I15" s="1"/>
      <c r="J15" s="5">
        <v>46219</v>
      </c>
      <c r="K15" s="20">
        <v>46782</v>
      </c>
      <c r="L15" s="5">
        <v>46225</v>
      </c>
      <c r="M15" s="2">
        <v>4000</v>
      </c>
      <c r="N15" s="2"/>
      <c r="O15" s="1"/>
      <c r="P15" s="7"/>
      <c r="Q15" s="9"/>
      <c r="R15" s="9"/>
      <c r="S15" s="9"/>
    </row>
    <row r="16" spans="1:45" x14ac:dyDescent="0.25">
      <c r="A16" s="1" t="s">
        <v>57</v>
      </c>
      <c r="B16" s="2">
        <v>17266544</v>
      </c>
      <c r="C16" s="3" t="s">
        <v>58</v>
      </c>
      <c r="D16" s="1"/>
      <c r="E16" s="1"/>
      <c r="F16" s="2">
        <v>1002540974</v>
      </c>
      <c r="G16" s="3" t="str">
        <f>VLOOKUP(Tabla26[[#This Row],[CC CONDUCTOR]],[1]!Tabla3[#Data],2,FALSE)</f>
        <v>MIGUEL ANGEL ROA ROA</v>
      </c>
      <c r="H16" s="3"/>
      <c r="I16" s="1"/>
      <c r="J16" s="5">
        <v>46152</v>
      </c>
      <c r="K16" s="20">
        <v>45994</v>
      </c>
      <c r="L16" s="5">
        <v>46153</v>
      </c>
      <c r="M16" s="2">
        <v>10000</v>
      </c>
      <c r="N16" s="2"/>
      <c r="O16" s="1"/>
      <c r="P16" s="7"/>
      <c r="Q16" s="9"/>
      <c r="R16" s="9"/>
      <c r="S16" s="9"/>
    </row>
    <row r="17" spans="1:19" s="12" customFormat="1" x14ac:dyDescent="0.25">
      <c r="A17" s="1" t="s">
        <v>59</v>
      </c>
      <c r="B17" s="2">
        <v>9014592052</v>
      </c>
      <c r="C17" s="3" t="s">
        <v>60</v>
      </c>
      <c r="D17" s="1" t="s">
        <v>61</v>
      </c>
      <c r="E17" s="1">
        <v>3208771806</v>
      </c>
      <c r="F17" s="2">
        <v>3155234</v>
      </c>
      <c r="G17" s="3" t="str">
        <f>VLOOKUP(Tabla26[[#This Row],[CC CONDUCTOR]],[1]!Tabla3[#Data],2,FALSE)</f>
        <v>LUIS EDUARDO LOPEZ HUERTAS</v>
      </c>
      <c r="H17" s="3"/>
      <c r="I17" s="1"/>
      <c r="J17" s="5">
        <v>46162</v>
      </c>
      <c r="K17" s="5">
        <v>46696</v>
      </c>
      <c r="L17" s="5">
        <v>46159</v>
      </c>
      <c r="M17" s="2">
        <v>10000</v>
      </c>
      <c r="N17" s="2"/>
      <c r="O17" s="1">
        <v>175887148</v>
      </c>
      <c r="P17" s="7"/>
      <c r="Q17" s="10"/>
      <c r="R17" s="10"/>
      <c r="S17" s="10"/>
    </row>
    <row r="18" spans="1:19" s="12" customFormat="1" x14ac:dyDescent="0.25">
      <c r="A18" s="1" t="s">
        <v>62</v>
      </c>
      <c r="B18" s="2">
        <v>1000287755</v>
      </c>
      <c r="C18" s="3" t="s">
        <v>63</v>
      </c>
      <c r="D18" s="1"/>
      <c r="E18" s="1"/>
      <c r="F18" s="2">
        <v>4145403</v>
      </c>
      <c r="G18" s="3" t="str">
        <f>VLOOKUP(Tabla26[[#This Row],[CC CONDUCTOR]],[1]!Tabla3[#Data],2,FALSE)</f>
        <v>RAFAEL EDUARDO ROA RODRIGUEZ</v>
      </c>
      <c r="H18" s="3"/>
      <c r="I18" s="1"/>
      <c r="J18" s="5">
        <v>46274</v>
      </c>
      <c r="K18" s="5">
        <v>46378</v>
      </c>
      <c r="L18" s="5"/>
      <c r="M18" s="2">
        <v>10000</v>
      </c>
      <c r="N18" s="2"/>
      <c r="O18" s="1"/>
      <c r="P18" s="7"/>
      <c r="Q18" s="10"/>
      <c r="R18" s="10"/>
      <c r="S18" s="10"/>
    </row>
    <row r="19" spans="1:19" s="12" customFormat="1" x14ac:dyDescent="0.25">
      <c r="A19" s="1" t="s">
        <v>64</v>
      </c>
      <c r="B19" s="2">
        <v>1077920322</v>
      </c>
      <c r="C19" s="3" t="s">
        <v>65</v>
      </c>
      <c r="D19" s="1"/>
      <c r="E19" s="1"/>
      <c r="F19" s="2">
        <v>1072432117</v>
      </c>
      <c r="G19" s="3" t="str">
        <f>VLOOKUP(Tabla26[[#This Row],[CC CONDUCTOR]],[1]!Tabla3[#Data],2,FALSE)</f>
        <v>JUAN FELIPE CALDERON PIÑEROS</v>
      </c>
      <c r="H19" s="3" t="s">
        <v>66</v>
      </c>
      <c r="I19" s="1"/>
      <c r="J19" s="5">
        <v>46153</v>
      </c>
      <c r="K19" s="13">
        <v>46899</v>
      </c>
      <c r="L19" s="5" t="s">
        <v>67</v>
      </c>
      <c r="M19" s="2">
        <v>10000</v>
      </c>
      <c r="N19" s="2"/>
      <c r="O19" s="1"/>
      <c r="P19" s="7"/>
      <c r="Q19" s="10"/>
      <c r="R19" s="10"/>
      <c r="S19" s="10"/>
    </row>
    <row r="20" spans="1:19" s="12" customFormat="1" x14ac:dyDescent="0.25">
      <c r="A20" s="1" t="s">
        <v>68</v>
      </c>
      <c r="B20" s="2">
        <v>9003528381</v>
      </c>
      <c r="C20" s="3" t="s">
        <v>69</v>
      </c>
      <c r="D20" s="1"/>
      <c r="E20" s="1"/>
      <c r="F20" s="2">
        <v>3066974</v>
      </c>
      <c r="G20" s="3" t="str">
        <f>VLOOKUP(Tabla26[[#This Row],[CC CONDUCTOR]],[1]!Tabla3[#Data],2,FALSE)</f>
        <v>JOSE JAVIER ESCOBAR VAZQUEZ</v>
      </c>
      <c r="H20" s="3" t="s">
        <v>70</v>
      </c>
      <c r="I20" s="1"/>
      <c r="J20" s="5">
        <v>46182</v>
      </c>
      <c r="K20" s="5">
        <v>46808</v>
      </c>
      <c r="L20" s="5">
        <v>46287</v>
      </c>
      <c r="M20" s="2">
        <v>10000</v>
      </c>
      <c r="N20" s="2"/>
      <c r="O20" s="1"/>
      <c r="P20" s="7"/>
      <c r="Q20" s="10"/>
      <c r="R20" s="10"/>
      <c r="S20" s="10"/>
    </row>
    <row r="21" spans="1:19" x14ac:dyDescent="0.25">
      <c r="A21" s="1" t="s">
        <v>71</v>
      </c>
      <c r="B21" s="2">
        <v>4062056</v>
      </c>
      <c r="C21" s="3" t="s">
        <v>72</v>
      </c>
      <c r="D21" s="1"/>
      <c r="E21" s="1"/>
      <c r="F21" s="2">
        <v>4062056</v>
      </c>
      <c r="G21" s="3" t="str">
        <f>VLOOKUP(Tabla26[[#This Row],[CC CONDUCTOR]],[1]!Tabla3[#Data],2,FALSE)</f>
        <v>JOSE MAURICIO RATIVA ROMERO</v>
      </c>
      <c r="H21" s="3"/>
      <c r="I21" s="1"/>
      <c r="J21" s="5">
        <v>46225</v>
      </c>
      <c r="K21" s="5">
        <v>46108</v>
      </c>
      <c r="L21" s="5">
        <v>46026</v>
      </c>
      <c r="M21" s="2">
        <v>10000</v>
      </c>
      <c r="N21" s="2"/>
      <c r="O21" s="1"/>
      <c r="P21" s="7"/>
      <c r="Q21" s="9"/>
      <c r="R21" s="9"/>
      <c r="S21" s="9"/>
    </row>
    <row r="22" spans="1:19" s="12" customFormat="1" x14ac:dyDescent="0.25">
      <c r="A22" s="1" t="s">
        <v>73</v>
      </c>
      <c r="B22" s="2">
        <v>1049796323</v>
      </c>
      <c r="C22" s="3" t="s">
        <v>74</v>
      </c>
      <c r="D22" s="1" t="s">
        <v>75</v>
      </c>
      <c r="E22" s="1">
        <v>3147326162</v>
      </c>
      <c r="F22" s="2">
        <v>1049796323</v>
      </c>
      <c r="G22" s="3" t="str">
        <f>VLOOKUP(Tabla26[[#This Row],[CC CONDUCTOR]],[1]!Tabla3[#Data],2,FALSE)</f>
        <v>YEISON JERLI CASTILLO PINILLA</v>
      </c>
      <c r="H22" s="3" t="s">
        <v>76</v>
      </c>
      <c r="I22" s="1">
        <v>3147326162</v>
      </c>
      <c r="J22" s="5">
        <v>46035</v>
      </c>
      <c r="K22" s="5">
        <v>45913</v>
      </c>
      <c r="L22" s="5">
        <v>46040</v>
      </c>
      <c r="M22" s="2">
        <v>10000</v>
      </c>
      <c r="N22" s="2"/>
      <c r="O22" s="1">
        <v>175887490</v>
      </c>
      <c r="P22" s="7"/>
      <c r="Q22" s="10"/>
      <c r="R22" s="10"/>
      <c r="S22" s="10"/>
    </row>
    <row r="23" spans="1:19" s="12" customFormat="1" x14ac:dyDescent="0.25">
      <c r="A23" s="1" t="s">
        <v>77</v>
      </c>
      <c r="B23" s="2">
        <v>11444646</v>
      </c>
      <c r="C23" s="3" t="s">
        <v>78</v>
      </c>
      <c r="D23" s="1"/>
      <c r="E23" s="1"/>
      <c r="F23" s="2">
        <v>1003535400</v>
      </c>
      <c r="G23" s="3" t="str">
        <f>VLOOKUP(Tabla26[[#This Row],[CC CONDUCTOR]],[1]!Tabla3[#Data],2,FALSE)</f>
        <v>JOSE GUILLERMO NOVA CAMACHO</v>
      </c>
      <c r="H23" s="3"/>
      <c r="I23" s="1"/>
      <c r="J23" s="5">
        <v>46186</v>
      </c>
      <c r="K23" s="5">
        <v>46003</v>
      </c>
      <c r="L23" s="5">
        <v>46302</v>
      </c>
      <c r="M23" s="2">
        <v>10000</v>
      </c>
      <c r="N23" s="2"/>
      <c r="O23" s="1"/>
      <c r="P23" s="7"/>
      <c r="Q23" s="10"/>
      <c r="R23" s="10"/>
      <c r="S23" s="10"/>
    </row>
    <row r="24" spans="1:19" s="12" customFormat="1" x14ac:dyDescent="0.25">
      <c r="A24" s="1" t="s">
        <v>79</v>
      </c>
      <c r="B24" s="2">
        <v>3066952</v>
      </c>
      <c r="C24" s="3" t="s">
        <v>17</v>
      </c>
      <c r="D24" s="1"/>
      <c r="E24" s="1"/>
      <c r="F24" s="2">
        <v>1071550525</v>
      </c>
      <c r="G24" s="3" t="str">
        <f>VLOOKUP(Tabla26[[#This Row],[CC CONDUCTOR]],[1]!Tabla3[#Data],2,FALSE)</f>
        <v>DANIEL FELIPE VARGAS CANGREJO</v>
      </c>
      <c r="H24" s="1"/>
      <c r="I24" s="1"/>
      <c r="J24" s="5">
        <v>46176</v>
      </c>
      <c r="K24" s="13">
        <v>46220</v>
      </c>
      <c r="L24" s="5">
        <v>46308</v>
      </c>
      <c r="M24" s="2">
        <v>10000</v>
      </c>
      <c r="N24" s="2"/>
      <c r="O24" s="1"/>
      <c r="P24" s="7"/>
      <c r="Q24" s="10"/>
      <c r="R24" s="10"/>
      <c r="S24" s="10"/>
    </row>
    <row r="25" spans="1:19" s="12" customFormat="1" x14ac:dyDescent="0.25">
      <c r="A25" s="1" t="s">
        <v>80</v>
      </c>
      <c r="B25" s="2">
        <v>9003528381</v>
      </c>
      <c r="C25" s="3" t="s">
        <v>69</v>
      </c>
      <c r="D25" s="1" t="s">
        <v>81</v>
      </c>
      <c r="E25" s="1">
        <v>3124484887</v>
      </c>
      <c r="F25" s="2">
        <v>1072496616</v>
      </c>
      <c r="G25" s="3" t="str">
        <f>VLOOKUP(Tabla26[[#This Row],[CC CONDUCTOR]],[1]!Tabla3[#Data],2,FALSE)</f>
        <v>EDISON ORLANDO TRIVIÑO NARANJO</v>
      </c>
      <c r="H25" s="1" t="s">
        <v>82</v>
      </c>
      <c r="I25" s="1">
        <v>3106795092</v>
      </c>
      <c r="J25" s="5">
        <v>46343</v>
      </c>
      <c r="K25" s="5">
        <v>46728</v>
      </c>
      <c r="L25" s="5">
        <v>46014</v>
      </c>
      <c r="M25" s="2">
        <v>10000</v>
      </c>
      <c r="N25" s="2">
        <v>175907962</v>
      </c>
      <c r="O25" s="1"/>
      <c r="P25" s="7"/>
      <c r="Q25" s="10"/>
      <c r="R25" s="10"/>
      <c r="S25" s="10"/>
    </row>
    <row r="26" spans="1:19" s="12" customFormat="1" x14ac:dyDescent="0.25">
      <c r="A26" s="1" t="s">
        <v>83</v>
      </c>
      <c r="B26" s="2">
        <v>1071550156</v>
      </c>
      <c r="C26" s="3" t="s">
        <v>84</v>
      </c>
      <c r="D26" s="1" t="s">
        <v>85</v>
      </c>
      <c r="E26" s="1"/>
      <c r="F26" s="2">
        <v>1071550080</v>
      </c>
      <c r="G26" s="3" t="str">
        <f>VLOOKUP(Tabla26[[#This Row],[CC CONDUCTOR]],[1]!Tabla3[#Data],2,FALSE)</f>
        <v>LEONEL FERNANDO MEDINA RODRIGUEZ</v>
      </c>
      <c r="H26" s="1"/>
      <c r="I26" s="1"/>
      <c r="J26" s="5">
        <v>46053</v>
      </c>
      <c r="K26" s="13">
        <v>46248</v>
      </c>
      <c r="L26" s="5">
        <v>46035</v>
      </c>
      <c r="M26" s="2">
        <v>10000</v>
      </c>
      <c r="N26" s="2">
        <v>175909056</v>
      </c>
      <c r="O26" s="1"/>
      <c r="P26" s="7"/>
      <c r="Q26" s="10"/>
      <c r="R26" s="10"/>
      <c r="S26" s="10"/>
    </row>
    <row r="27" spans="1:19" s="12" customFormat="1" x14ac:dyDescent="0.25">
      <c r="A27" s="1" t="s">
        <v>86</v>
      </c>
      <c r="B27" s="2">
        <v>8002552898</v>
      </c>
      <c r="C27" s="3" t="s">
        <v>87</v>
      </c>
      <c r="D27" s="1"/>
      <c r="E27" s="1"/>
      <c r="F27" s="2">
        <v>1121838268</v>
      </c>
      <c r="G27" s="3" t="str">
        <f>VLOOKUP(Tabla26[[#This Row],[CC CONDUCTOR]],[1]!Tabla3[#Data],2,FALSE)</f>
        <v>LUIS ENRIQUE ROJAS ROA</v>
      </c>
      <c r="H27" s="1"/>
      <c r="I27" s="1"/>
      <c r="J27" s="5">
        <v>46047</v>
      </c>
      <c r="K27" s="5">
        <v>46737</v>
      </c>
      <c r="L27" s="5" t="s">
        <v>88</v>
      </c>
      <c r="M27" s="2">
        <v>10000</v>
      </c>
      <c r="N27" s="2"/>
      <c r="O27" s="1"/>
      <c r="P27" s="7"/>
      <c r="Q27" s="10"/>
      <c r="R27" s="10"/>
      <c r="S27" s="10"/>
    </row>
    <row r="28" spans="1:19" s="12" customFormat="1" ht="15.75" customHeight="1" x14ac:dyDescent="0.25">
      <c r="A28" s="1" t="s">
        <v>89</v>
      </c>
      <c r="B28" s="2">
        <v>1074134629</v>
      </c>
      <c r="C28" t="s">
        <v>90</v>
      </c>
      <c r="D28" s="1"/>
      <c r="E28" s="1"/>
      <c r="F28" s="2">
        <v>1074134629</v>
      </c>
      <c r="G28" s="3" t="str">
        <f>VLOOKUP(Tabla26[[#This Row],[CC CONDUCTOR]],[1]!Tabla3[#Data],2,FALSE)</f>
        <v>OMAR ARMANDO TORRES TORRES</v>
      </c>
      <c r="H28" s="1"/>
      <c r="I28" s="1"/>
      <c r="J28" s="5"/>
      <c r="K28" s="5">
        <v>46713</v>
      </c>
      <c r="L28" s="5"/>
      <c r="M28" s="19"/>
      <c r="N28" s="2"/>
      <c r="O28" s="1"/>
      <c r="P28" s="7"/>
      <c r="Q28" s="10"/>
      <c r="R28" s="10"/>
      <c r="S28" s="10"/>
    </row>
    <row r="29" spans="1:19" x14ac:dyDescent="0.25">
      <c r="A29" s="1" t="s">
        <v>91</v>
      </c>
      <c r="B29" s="2">
        <v>1002686768</v>
      </c>
      <c r="C29" s="3" t="s">
        <v>92</v>
      </c>
      <c r="D29" s="1"/>
      <c r="E29" s="1"/>
      <c r="F29" s="2">
        <v>1056688557</v>
      </c>
      <c r="G29" s="3" t="str">
        <f>VLOOKUP(Tabla26[[#This Row],[CC CONDUCTOR]],[1]!Tabla3[#Data],2,FALSE)</f>
        <v>RUBEN ORLANDO CARDENAS ZUBIETA</v>
      </c>
      <c r="H29" s="1"/>
      <c r="I29" s="1"/>
      <c r="J29" s="5"/>
      <c r="K29" s="5">
        <v>46683</v>
      </c>
      <c r="L29" s="5"/>
      <c r="M29" s="2">
        <v>10000</v>
      </c>
      <c r="N29" s="2"/>
      <c r="O29" s="1"/>
      <c r="P29" s="7"/>
      <c r="Q29" s="9"/>
      <c r="R29" s="9"/>
      <c r="S29" s="9"/>
    </row>
    <row r="30" spans="1:19" x14ac:dyDescent="0.25">
      <c r="A30" s="1" t="s">
        <v>93</v>
      </c>
      <c r="B30" s="2">
        <v>9016417582</v>
      </c>
      <c r="C30" s="3" t="s">
        <v>94</v>
      </c>
      <c r="D30" s="1"/>
      <c r="E30" s="1"/>
      <c r="F30" s="2">
        <v>19486361</v>
      </c>
      <c r="G30" s="3" t="str">
        <f>VLOOKUP(Tabla26[[#This Row],[CC CONDUCTOR]],[1]!Tabla3[#Data],2,FALSE)</f>
        <v>JOSE DOMINGO ORTIZ LOZANO</v>
      </c>
      <c r="H30" s="1"/>
      <c r="I30" s="1"/>
      <c r="J30" s="5">
        <v>46304</v>
      </c>
      <c r="K30" s="5">
        <v>46081</v>
      </c>
      <c r="L30" s="5">
        <v>46266</v>
      </c>
      <c r="M30" s="2">
        <v>10000</v>
      </c>
      <c r="N30" s="2"/>
      <c r="O30" s="1"/>
      <c r="P30" s="7"/>
      <c r="Q30" s="9"/>
      <c r="R30" s="9"/>
      <c r="S30" s="9"/>
    </row>
    <row r="31" spans="1:19" s="12" customFormat="1" x14ac:dyDescent="0.25">
      <c r="A31" s="1" t="s">
        <v>95</v>
      </c>
      <c r="B31" s="2">
        <v>79545017</v>
      </c>
      <c r="C31" s="3" t="s">
        <v>96</v>
      </c>
      <c r="D31" s="1"/>
      <c r="E31" s="1"/>
      <c r="F31" s="2">
        <v>381918</v>
      </c>
      <c r="G31" s="3" t="str">
        <f>VLOOKUP(Tabla26[[#This Row],[CC CONDUCTOR]],[1]!Tabla3[#Data],2,FALSE)</f>
        <v>JESUS ANGEL GAITAN GAITAN</v>
      </c>
      <c r="H31" s="1" t="s">
        <v>97</v>
      </c>
      <c r="I31" s="1"/>
      <c r="J31" s="5">
        <v>46080</v>
      </c>
      <c r="K31" s="5">
        <v>46280</v>
      </c>
      <c r="L31" s="5">
        <v>46080</v>
      </c>
      <c r="M31" s="2">
        <v>6000</v>
      </c>
      <c r="N31" s="2"/>
      <c r="O31" s="1"/>
      <c r="P31" s="7"/>
      <c r="Q31" s="10"/>
      <c r="R31" s="10"/>
      <c r="S31" s="10"/>
    </row>
    <row r="32" spans="1:19" x14ac:dyDescent="0.25">
      <c r="A32" s="1" t="s">
        <v>98</v>
      </c>
      <c r="B32" s="2">
        <v>17322868</v>
      </c>
      <c r="C32" s="3" t="s">
        <v>29</v>
      </c>
      <c r="D32" s="1"/>
      <c r="E32" s="1"/>
      <c r="F32" s="2">
        <v>1022936847</v>
      </c>
      <c r="G32" s="3" t="str">
        <f>VLOOKUP(Tabla26[[#This Row],[CC CONDUCTOR]],[1]!Tabla3[#Data],2,FALSE)</f>
        <v>JIMMY WILBERT ALVAREZ CORREA</v>
      </c>
      <c r="H32" s="1"/>
      <c r="I32" s="1"/>
      <c r="J32" s="5">
        <v>46225</v>
      </c>
      <c r="K32" s="20">
        <v>46801</v>
      </c>
      <c r="L32" s="5">
        <v>46219</v>
      </c>
      <c r="M32" s="2">
        <v>6000</v>
      </c>
      <c r="N32" s="2"/>
      <c r="O32" s="1"/>
      <c r="P32" s="7"/>
      <c r="Q32" s="9"/>
      <c r="R32" s="9"/>
      <c r="S32" s="9"/>
    </row>
    <row r="33" spans="1:19" s="12" customFormat="1" x14ac:dyDescent="0.25">
      <c r="A33" s="1" t="s">
        <v>99</v>
      </c>
      <c r="B33" s="2">
        <v>8600588314</v>
      </c>
      <c r="C33" s="3" t="s">
        <v>100</v>
      </c>
      <c r="D33" s="1"/>
      <c r="E33" s="1"/>
      <c r="F33" s="2">
        <v>79838848</v>
      </c>
      <c r="G33" s="3" t="str">
        <f>VLOOKUP(Tabla26[[#This Row],[CC CONDUCTOR]],[1]!Tabla3[#Data],2,FALSE)</f>
        <v>EDGAR YOVANNI RIAÑO LEON</v>
      </c>
      <c r="H33" s="1" t="s">
        <v>101</v>
      </c>
      <c r="I33" s="1"/>
      <c r="J33" s="5">
        <v>46098</v>
      </c>
      <c r="K33" s="20">
        <v>46237</v>
      </c>
      <c r="L33" s="5">
        <v>46197</v>
      </c>
      <c r="M33" s="2">
        <v>6000</v>
      </c>
      <c r="N33" s="2"/>
      <c r="O33" s="1"/>
      <c r="P33" s="7"/>
      <c r="Q33" s="10"/>
      <c r="R33" s="10"/>
      <c r="S33" s="10"/>
    </row>
    <row r="34" spans="1:19" x14ac:dyDescent="0.25">
      <c r="A34" s="1" t="s">
        <v>102</v>
      </c>
      <c r="B34" s="2">
        <v>80321646</v>
      </c>
      <c r="C34" s="3" t="s">
        <v>103</v>
      </c>
      <c r="D34" s="1"/>
      <c r="E34" s="1"/>
      <c r="F34" s="2">
        <v>177129</v>
      </c>
      <c r="G34" s="3" t="str">
        <f>VLOOKUP(Tabla26[[#This Row],[CC CONDUCTOR]],[1]!Tabla3[#Data],2,FALSE)</f>
        <v>LUIS JOSE GUEVARA ALFONSO</v>
      </c>
      <c r="H34" s="1"/>
      <c r="I34" s="1"/>
      <c r="J34" s="5">
        <v>46312</v>
      </c>
      <c r="K34" s="13">
        <v>46984</v>
      </c>
      <c r="L34" s="5">
        <v>46092</v>
      </c>
      <c r="M34" s="2">
        <v>6000</v>
      </c>
      <c r="N34" s="2"/>
      <c r="O34" s="1"/>
      <c r="P34" s="7"/>
      <c r="Q34" s="9"/>
      <c r="R34" s="9"/>
      <c r="S34" s="9"/>
    </row>
    <row r="35" spans="1:19" s="12" customFormat="1" x14ac:dyDescent="0.25">
      <c r="A35" s="1" t="s">
        <v>104</v>
      </c>
      <c r="B35" s="2">
        <v>410780</v>
      </c>
      <c r="C35" s="3" t="s">
        <v>105</v>
      </c>
      <c r="D35" s="1" t="s">
        <v>106</v>
      </c>
      <c r="E35" s="1">
        <v>3224325593</v>
      </c>
      <c r="F35" s="2">
        <v>410780</v>
      </c>
      <c r="G35" s="3" t="str">
        <f>VLOOKUP(Tabla26[[#This Row],[CC CONDUCTOR]],[1]!Tabla3[#Data],2,FALSE)</f>
        <v>ERNESTO MUÑOZ CASTILLO</v>
      </c>
      <c r="H35" s="1"/>
      <c r="I35" s="1">
        <v>3224325593</v>
      </c>
      <c r="J35" s="5">
        <v>46072</v>
      </c>
      <c r="K35" s="5">
        <v>46032</v>
      </c>
      <c r="L35" s="5">
        <v>46300</v>
      </c>
      <c r="M35" s="2">
        <v>10000</v>
      </c>
      <c r="N35" s="2"/>
      <c r="O35" s="1">
        <v>175890051</v>
      </c>
      <c r="P35" s="7"/>
      <c r="Q35" s="10"/>
      <c r="R35" s="10"/>
      <c r="S35" s="10"/>
    </row>
    <row r="36" spans="1:19" s="12" customFormat="1" x14ac:dyDescent="0.25">
      <c r="A36" s="1" t="s">
        <v>107</v>
      </c>
      <c r="B36" s="2">
        <v>3073195</v>
      </c>
      <c r="C36" s="3" t="s">
        <v>108</v>
      </c>
      <c r="D36" s="1"/>
      <c r="E36" s="1"/>
      <c r="F36" s="2">
        <v>3073195</v>
      </c>
      <c r="G36" s="3" t="str">
        <f>VLOOKUP(Tabla26[[#This Row],[CC CONDUCTOR]],[1]!Tabla3[#Data],2,FALSE)</f>
        <v>LUIS TORRES (PROPIETARIO)</v>
      </c>
      <c r="H36" s="1"/>
      <c r="I36" s="1"/>
      <c r="J36" s="5">
        <v>46246</v>
      </c>
      <c r="K36" s="13">
        <v>46214</v>
      </c>
      <c r="L36" s="5">
        <v>46279</v>
      </c>
      <c r="M36" s="2">
        <v>10000</v>
      </c>
      <c r="N36" s="2"/>
      <c r="O36" s="1"/>
      <c r="P36" s="7"/>
      <c r="Q36" s="10"/>
      <c r="R36" s="10"/>
      <c r="S36" s="10"/>
    </row>
    <row r="37" spans="1:19" s="12" customFormat="1" x14ac:dyDescent="0.25">
      <c r="A37" s="1" t="s">
        <v>109</v>
      </c>
      <c r="B37" s="2">
        <v>52541478</v>
      </c>
      <c r="C37" s="3" t="s">
        <v>38</v>
      </c>
      <c r="D37" s="1"/>
      <c r="E37" s="1"/>
      <c r="F37" s="2">
        <v>79273554</v>
      </c>
      <c r="G37" s="3" t="str">
        <f>VLOOKUP(Tabla26[[#This Row],[CC CONDUCTOR]],[1]!Tabla3[#Data],2,FALSE)</f>
        <v>EDGAR BARON</v>
      </c>
      <c r="H37" s="1"/>
      <c r="I37" s="1"/>
      <c r="J37" s="5">
        <v>46302</v>
      </c>
      <c r="K37" s="5">
        <v>46703</v>
      </c>
      <c r="L37" s="5">
        <v>46300</v>
      </c>
      <c r="M37" s="2">
        <v>10000</v>
      </c>
      <c r="N37" s="2"/>
      <c r="O37" s="1"/>
      <c r="P37" s="7"/>
      <c r="Q37" s="10"/>
      <c r="R37" s="10"/>
      <c r="S37" s="10"/>
    </row>
    <row r="38" spans="1:19" s="12" customFormat="1" x14ac:dyDescent="0.25">
      <c r="A38" s="1" t="s">
        <v>110</v>
      </c>
      <c r="B38" s="2">
        <v>11447201</v>
      </c>
      <c r="C38" s="3" t="s">
        <v>111</v>
      </c>
      <c r="D38" s="1" t="s">
        <v>112</v>
      </c>
      <c r="E38" s="1">
        <v>3134530981</v>
      </c>
      <c r="F38" s="2">
        <v>11447201</v>
      </c>
      <c r="G38" s="3" t="str">
        <f>VLOOKUP(Tabla26[[#This Row],[CC CONDUCTOR]],[1]!Tabla3[#Data],2,FALSE)</f>
        <v>JOHANN DARIO GARZON CARDENAS</v>
      </c>
      <c r="H38" s="1" t="s">
        <v>113</v>
      </c>
      <c r="I38" s="1">
        <v>3134530981</v>
      </c>
      <c r="J38" s="5">
        <v>46087</v>
      </c>
      <c r="K38" s="5">
        <v>46663</v>
      </c>
      <c r="L38" s="5">
        <v>45937</v>
      </c>
      <c r="M38" s="2">
        <v>10000</v>
      </c>
      <c r="N38" s="2"/>
      <c r="O38" s="1">
        <v>175884073</v>
      </c>
      <c r="P38" s="7" t="s">
        <v>114</v>
      </c>
      <c r="Q38" s="10"/>
      <c r="R38" s="10"/>
      <c r="S38" s="10"/>
    </row>
    <row r="39" spans="1:19" s="12" customFormat="1" x14ac:dyDescent="0.25">
      <c r="A39" s="1" t="s">
        <v>115</v>
      </c>
      <c r="B39" s="2">
        <v>52541478</v>
      </c>
      <c r="C39" s="3" t="s">
        <v>38</v>
      </c>
      <c r="D39" s="1" t="s">
        <v>116</v>
      </c>
      <c r="E39" s="1">
        <v>3183118181</v>
      </c>
      <c r="F39" s="2">
        <v>11387602</v>
      </c>
      <c r="G39" s="3" t="str">
        <f>VLOOKUP(Tabla26[[#This Row],[CC CONDUCTOR]],[1]!Tabla3[#Data],2,FALSE)</f>
        <v>GERMAN AUGUSTO BAQUERO HORTUA</v>
      </c>
      <c r="H39" s="1"/>
      <c r="I39" s="1">
        <v>3154909957</v>
      </c>
      <c r="J39" s="5">
        <v>46028</v>
      </c>
      <c r="K39" s="5">
        <v>46551</v>
      </c>
      <c r="L39" s="5">
        <v>46043</v>
      </c>
      <c r="M39" s="2">
        <v>10000</v>
      </c>
      <c r="N39" s="2"/>
      <c r="O39" s="1"/>
      <c r="P39" s="7"/>
      <c r="Q39" s="10"/>
      <c r="R39" s="10"/>
      <c r="S39" s="10"/>
    </row>
    <row r="40" spans="1:19" s="12" customFormat="1" x14ac:dyDescent="0.25">
      <c r="A40" s="1" t="s">
        <v>117</v>
      </c>
      <c r="B40" s="2">
        <v>1072447316</v>
      </c>
      <c r="C40" s="3" t="s">
        <v>118</v>
      </c>
      <c r="D40" s="1"/>
      <c r="E40" s="1"/>
      <c r="F40" s="2">
        <v>1072447316</v>
      </c>
      <c r="G40" s="3" t="str">
        <f>VLOOKUP(Tabla26[[#This Row],[CC CONDUCTOR]],[1]!Tabla3[#Data],2,FALSE)</f>
        <v>JUAN LIBARDO SALCEDO PERILLA</v>
      </c>
      <c r="H40" s="1"/>
      <c r="I40" s="1"/>
      <c r="J40" s="5">
        <v>46126</v>
      </c>
      <c r="K40" s="5">
        <v>46759</v>
      </c>
      <c r="L40" s="5">
        <v>46176</v>
      </c>
      <c r="M40" s="2">
        <v>10000</v>
      </c>
      <c r="N40" s="2"/>
      <c r="O40" s="1"/>
      <c r="P40" s="7"/>
      <c r="Q40" s="10"/>
      <c r="R40" s="10"/>
      <c r="S40" s="10"/>
    </row>
    <row r="41" spans="1:19" s="12" customFormat="1" x14ac:dyDescent="0.25">
      <c r="A41" s="1" t="s">
        <v>119</v>
      </c>
      <c r="B41" s="2">
        <v>74281908</v>
      </c>
      <c r="C41" s="3" t="s">
        <v>120</v>
      </c>
      <c r="D41" s="1"/>
      <c r="E41" s="1"/>
      <c r="F41" s="2">
        <v>1002540865</v>
      </c>
      <c r="G41" s="3" t="str">
        <f>VLOOKUP(Tabla26[[#This Row],[CC CONDUCTOR]],[1]!Tabla3[#Data],2,FALSE)</f>
        <v>YONY LUIS SANCHEZ RAMIREZ</v>
      </c>
      <c r="H41" s="1"/>
      <c r="I41" s="1"/>
      <c r="J41" s="5">
        <v>46126</v>
      </c>
      <c r="K41" s="13">
        <v>46747</v>
      </c>
      <c r="L41" s="5">
        <v>46183</v>
      </c>
      <c r="M41" s="2">
        <v>10000</v>
      </c>
      <c r="N41" s="2"/>
      <c r="O41" s="1"/>
      <c r="P41" s="7"/>
      <c r="Q41" s="10"/>
      <c r="R41" s="10"/>
      <c r="S41" s="10"/>
    </row>
    <row r="42" spans="1:19" x14ac:dyDescent="0.25">
      <c r="A42" s="1" t="s">
        <v>121</v>
      </c>
      <c r="B42" s="2">
        <v>9005428765</v>
      </c>
      <c r="C42" s="3" t="s">
        <v>122</v>
      </c>
      <c r="D42" s="1"/>
      <c r="E42" s="1"/>
      <c r="F42" s="2">
        <v>1072895700</v>
      </c>
      <c r="G42" s="3" t="str">
        <f>VLOOKUP(Tabla26[[#This Row],[CC CONDUCTOR]],[1]!Tabla3[#Data],2,FALSE)</f>
        <v>EDISON LEONEL CRUZ ROMERO</v>
      </c>
      <c r="H42" s="1" t="s">
        <v>123</v>
      </c>
      <c r="I42" s="1"/>
      <c r="J42" s="5">
        <v>46160</v>
      </c>
      <c r="K42" s="5">
        <v>46841</v>
      </c>
      <c r="L42" s="5">
        <v>46317</v>
      </c>
      <c r="M42" s="2">
        <v>10000</v>
      </c>
      <c r="N42" s="2"/>
      <c r="O42" s="1"/>
      <c r="P42" s="7"/>
      <c r="Q42" s="9"/>
      <c r="R42" s="9"/>
      <c r="S42" s="9"/>
    </row>
    <row r="43" spans="1:19" x14ac:dyDescent="0.25">
      <c r="A43" s="1" t="s">
        <v>124</v>
      </c>
      <c r="B43" s="2">
        <v>52962500</v>
      </c>
      <c r="C43" s="3" t="s">
        <v>125</v>
      </c>
      <c r="D43" s="1"/>
      <c r="E43" s="1"/>
      <c r="F43" s="2">
        <v>1104702986</v>
      </c>
      <c r="G43" s="3" t="str">
        <f>VLOOKUP(Tabla26[[#This Row],[CC CONDUCTOR]],[1]!Tabla3[#Data],2,FALSE)</f>
        <v>RAUL ALBERTO MURIEL RODRIGUEZ</v>
      </c>
      <c r="H43" s="1"/>
      <c r="I43" s="1"/>
      <c r="J43" s="5">
        <v>46199</v>
      </c>
      <c r="K43" s="13">
        <v>47046</v>
      </c>
      <c r="L43" s="5">
        <v>46202</v>
      </c>
      <c r="M43" s="2">
        <v>6000</v>
      </c>
      <c r="N43" s="2"/>
      <c r="O43" s="1"/>
      <c r="P43" s="7"/>
      <c r="Q43" s="9"/>
      <c r="R43" s="9"/>
      <c r="S43" s="9"/>
    </row>
    <row r="44" spans="1:19" s="12" customFormat="1" x14ac:dyDescent="0.25">
      <c r="A44" s="14" t="s">
        <v>126</v>
      </c>
      <c r="B44" s="15">
        <v>23682309</v>
      </c>
      <c r="C44" s="16" t="s">
        <v>127</v>
      </c>
      <c r="D44" s="14"/>
      <c r="E44" s="14"/>
      <c r="F44" s="15">
        <v>7335284</v>
      </c>
      <c r="G44" s="16" t="str">
        <f>VLOOKUP(Tabla26[[#This Row],[CC CONDUCTOR]],[1]!Tabla3[#Data],2,FALSE)</f>
        <v>CIRO HERNAN ROA RODRIGUEZ</v>
      </c>
      <c r="H44" s="16"/>
      <c r="I44" s="14"/>
      <c r="J44" s="17">
        <v>46169</v>
      </c>
      <c r="K44" s="17">
        <v>46480</v>
      </c>
      <c r="L44" s="17"/>
      <c r="M44" s="15">
        <v>10000</v>
      </c>
      <c r="N44" s="15"/>
      <c r="O44" s="14"/>
      <c r="P44" s="18"/>
      <c r="Q44" s="10"/>
      <c r="R44" s="10"/>
      <c r="S44" s="10"/>
    </row>
    <row r="45" spans="1:19" x14ac:dyDescent="0.25">
      <c r="A45" s="1" t="s">
        <v>128</v>
      </c>
      <c r="B45" s="2">
        <v>1071549682</v>
      </c>
      <c r="C45" s="3" t="s">
        <v>129</v>
      </c>
      <c r="D45" s="1"/>
      <c r="E45" s="1"/>
      <c r="F45" s="2">
        <v>1007345972</v>
      </c>
      <c r="G45" s="3" t="str">
        <f>VLOOKUP(Tabla26[[#This Row],[CC CONDUCTOR]],[1]!Tabla3[#Data],2,FALSE)</f>
        <v>JHON SEBASTIAN FLECHAS REYES</v>
      </c>
      <c r="H45" s="1"/>
      <c r="I45" s="1"/>
      <c r="J45" s="5">
        <v>46207</v>
      </c>
      <c r="K45" s="20">
        <v>47068</v>
      </c>
      <c r="L45" s="5">
        <v>46210</v>
      </c>
      <c r="M45" s="2">
        <v>6000</v>
      </c>
      <c r="N45" s="2"/>
      <c r="O45" s="1"/>
      <c r="P45" s="7"/>
      <c r="Q45" s="9"/>
      <c r="R45" s="9"/>
      <c r="S45" s="9"/>
    </row>
    <row r="46" spans="1:19" x14ac:dyDescent="0.25">
      <c r="A46" s="1" t="s">
        <v>130</v>
      </c>
      <c r="B46" s="2">
        <v>18416236</v>
      </c>
      <c r="C46" s="3" t="s">
        <v>131</v>
      </c>
      <c r="D46" s="1"/>
      <c r="E46" s="1"/>
      <c r="F46" s="2">
        <v>2948192</v>
      </c>
      <c r="G46" s="3" t="str">
        <f>VLOOKUP(Tabla26[[#This Row],[CC CONDUCTOR]],[1]!Tabla3[#Data],2,FALSE)</f>
        <v>JOSE RODRIGUEZ</v>
      </c>
      <c r="H46" s="1"/>
      <c r="I46" s="1"/>
      <c r="J46" s="5">
        <v>46214</v>
      </c>
      <c r="K46" s="5">
        <v>46737</v>
      </c>
      <c r="L46" s="5">
        <v>46298</v>
      </c>
      <c r="M46" s="2">
        <v>10000</v>
      </c>
      <c r="N46" s="2"/>
      <c r="O46" s="1"/>
      <c r="P46" s="7"/>
      <c r="Q46" s="9"/>
      <c r="R46" s="9"/>
      <c r="S46" s="9"/>
    </row>
    <row r="47" spans="1:19" x14ac:dyDescent="0.25">
      <c r="A47" s="1" t="s">
        <v>132</v>
      </c>
      <c r="B47" s="2">
        <v>80019698</v>
      </c>
      <c r="C47" s="3" t="s">
        <v>133</v>
      </c>
      <c r="D47" s="1"/>
      <c r="E47" s="1"/>
      <c r="F47" s="2">
        <v>1069754647</v>
      </c>
      <c r="G47" s="3" t="str">
        <f>VLOOKUP(Tabla26[[#This Row],[CC CONDUCTOR]],[1]!Tabla3[#Data],2,FALSE)</f>
        <v>YILMAR ALEXIS PINILLA BOBADILLA</v>
      </c>
      <c r="H47" s="1"/>
      <c r="I47" s="1"/>
      <c r="J47" s="5">
        <v>46104</v>
      </c>
      <c r="K47" s="13">
        <v>46271</v>
      </c>
      <c r="L47" s="5">
        <v>46310</v>
      </c>
      <c r="M47" s="2">
        <v>10000</v>
      </c>
      <c r="N47" s="2"/>
      <c r="O47" s="1"/>
      <c r="P47" s="7"/>
      <c r="Q47" s="9"/>
      <c r="R47" s="9"/>
      <c r="S47" s="9"/>
    </row>
    <row r="48" spans="1:19" s="12" customFormat="1" x14ac:dyDescent="0.25">
      <c r="A48" s="1" t="s">
        <v>134</v>
      </c>
      <c r="B48" s="2">
        <v>19223941</v>
      </c>
      <c r="C48" s="3" t="s">
        <v>135</v>
      </c>
      <c r="D48" s="1" t="s">
        <v>136</v>
      </c>
      <c r="E48" s="1">
        <v>3134809010</v>
      </c>
      <c r="F48" s="2">
        <v>19223941</v>
      </c>
      <c r="G48" s="3" t="str">
        <f>VLOOKUP(Tabla26[[#This Row],[CC CONDUCTOR]],[1]!Tabla3[#Data],2,FALSE)</f>
        <v>ALEJANDRO MARTINEZ GALINDO</v>
      </c>
      <c r="H48" s="1"/>
      <c r="I48" s="1"/>
      <c r="J48" s="5">
        <v>46026</v>
      </c>
      <c r="K48" s="5">
        <v>46214</v>
      </c>
      <c r="L48" s="5">
        <v>46333</v>
      </c>
      <c r="M48" s="2">
        <v>10000</v>
      </c>
      <c r="N48" s="2">
        <v>175908585</v>
      </c>
      <c r="O48" s="1">
        <v>175908585</v>
      </c>
      <c r="P48" s="7"/>
      <c r="Q48" s="10"/>
      <c r="R48" s="10"/>
      <c r="S48" s="10"/>
    </row>
    <row r="49" spans="1:19" s="12" customFormat="1" x14ac:dyDescent="0.25">
      <c r="A49" s="1" t="s">
        <v>137</v>
      </c>
      <c r="B49" s="2">
        <v>52522890</v>
      </c>
      <c r="C49" s="3" t="s">
        <v>138</v>
      </c>
      <c r="D49" s="1"/>
      <c r="E49" s="1"/>
      <c r="F49" s="2">
        <v>1048847155</v>
      </c>
      <c r="G49" s="3" t="str">
        <f>VLOOKUP(Tabla26[[#This Row],[CC CONDUCTOR]],[1]!Tabla3[#Data],2,FALSE)</f>
        <v>FERNANDO VANEGAS MARTIN</v>
      </c>
      <c r="H49" s="1" t="s">
        <v>139</v>
      </c>
      <c r="I49" s="1"/>
      <c r="J49" s="5">
        <v>46039</v>
      </c>
      <c r="K49" s="13">
        <v>46117</v>
      </c>
      <c r="L49" s="5">
        <v>46214</v>
      </c>
      <c r="M49" s="2">
        <v>10000</v>
      </c>
      <c r="N49" s="2"/>
      <c r="O49" s="1"/>
      <c r="P49" s="7"/>
      <c r="Q49" s="10"/>
      <c r="R49" s="10"/>
      <c r="S49" s="10"/>
    </row>
    <row r="50" spans="1:19" s="12" customFormat="1" x14ac:dyDescent="0.25">
      <c r="A50" s="1" t="s">
        <v>140</v>
      </c>
      <c r="B50" s="2">
        <v>1072592160</v>
      </c>
      <c r="C50" s="3" t="s">
        <v>54</v>
      </c>
      <c r="D50" s="1"/>
      <c r="E50" s="1"/>
      <c r="F50" s="2">
        <v>1072592012</v>
      </c>
      <c r="G50" s="3" t="str">
        <f>VLOOKUP(Tabla26[[#This Row],[CC CONDUCTOR]],[1]!Tabla3[#Data],2,FALSE)</f>
        <v>KEVIN CASTILLO PARRA</v>
      </c>
      <c r="H50" s="1"/>
      <c r="I50" s="1"/>
      <c r="J50" s="5">
        <v>46114</v>
      </c>
      <c r="K50" s="5">
        <v>46151</v>
      </c>
      <c r="L50" s="5">
        <v>46197</v>
      </c>
      <c r="M50" s="2">
        <v>10000</v>
      </c>
      <c r="N50" s="2"/>
      <c r="O50" s="1"/>
      <c r="P50" s="7"/>
      <c r="Q50" s="10"/>
      <c r="R50" s="10"/>
      <c r="S50" s="10"/>
    </row>
    <row r="51" spans="1:19" s="12" customFormat="1" x14ac:dyDescent="0.25">
      <c r="A51" s="1" t="s">
        <v>141</v>
      </c>
      <c r="B51" s="2">
        <v>1069727570</v>
      </c>
      <c r="C51" s="3" t="s">
        <v>142</v>
      </c>
      <c r="D51" s="1"/>
      <c r="E51" s="1"/>
      <c r="F51" s="2">
        <v>1069721896</v>
      </c>
      <c r="G51" s="3" t="str">
        <f>VLOOKUP(Tabla26[[#This Row],[CC CONDUCTOR]],[1]!Tabla3[#Data],2,FALSE)</f>
        <v>DANIEL ANDRES MURCIA RAMIREZ</v>
      </c>
      <c r="H51" s="1"/>
      <c r="I51" s="1"/>
      <c r="J51" s="5">
        <v>46284</v>
      </c>
      <c r="K51" s="5">
        <v>46619</v>
      </c>
      <c r="L51" s="5">
        <v>46171</v>
      </c>
      <c r="M51" s="2">
        <v>10000</v>
      </c>
      <c r="N51" s="2"/>
      <c r="O51" s="1"/>
      <c r="P51" s="7"/>
      <c r="Q51" s="10"/>
      <c r="R51" s="10"/>
      <c r="S51" s="10"/>
    </row>
    <row r="52" spans="1:19" s="12" customFormat="1" x14ac:dyDescent="0.25">
      <c r="A52" s="1" t="s">
        <v>143</v>
      </c>
      <c r="B52" s="2">
        <v>79745043</v>
      </c>
      <c r="C52" s="3" t="s">
        <v>144</v>
      </c>
      <c r="D52" s="1" t="s">
        <v>145</v>
      </c>
      <c r="E52" s="1">
        <v>3112634045</v>
      </c>
      <c r="F52" s="2">
        <v>11383102</v>
      </c>
      <c r="G52" s="3" t="str">
        <f>VLOOKUP(Tabla26[[#This Row],[CC CONDUCTOR]],[1]!Tabla3[#Data],2,FALSE)</f>
        <v>JOSE ALVARO SABOGAL SOLANO</v>
      </c>
      <c r="H52" s="1" t="s">
        <v>146</v>
      </c>
      <c r="I52" s="1"/>
      <c r="J52" s="5">
        <v>46165</v>
      </c>
      <c r="K52" s="5">
        <v>46464</v>
      </c>
      <c r="L52" s="5">
        <v>46177</v>
      </c>
      <c r="M52" s="2">
        <v>10000</v>
      </c>
      <c r="N52" s="2"/>
      <c r="O52" s="1"/>
      <c r="P52" s="7" t="s">
        <v>147</v>
      </c>
      <c r="Q52" s="10"/>
      <c r="R52" s="10"/>
      <c r="S52" s="10"/>
    </row>
    <row r="53" spans="1:19" s="12" customFormat="1" x14ac:dyDescent="0.25">
      <c r="A53" s="1" t="s">
        <v>148</v>
      </c>
      <c r="B53" s="2">
        <v>1069758702</v>
      </c>
      <c r="C53" s="3" t="s">
        <v>149</v>
      </c>
      <c r="D53" s="1"/>
      <c r="E53" s="1"/>
      <c r="F53" s="21">
        <v>1070384694</v>
      </c>
      <c r="G53" s="3" t="str">
        <f>VLOOKUP(Tabla26[[#This Row],[CC CONDUCTOR]],[1]!Tabla3[#Data],2,FALSE)</f>
        <v>DIEGO ALEJANDRO CASTILLO NOVA</v>
      </c>
      <c r="H53" s="1"/>
      <c r="I53" s="1"/>
      <c r="J53" s="5">
        <v>46139</v>
      </c>
      <c r="K53" s="5">
        <v>46991</v>
      </c>
      <c r="L53" s="5">
        <v>46229</v>
      </c>
      <c r="M53" s="2">
        <v>10000</v>
      </c>
      <c r="N53" s="2"/>
      <c r="O53" s="1"/>
      <c r="P53" s="7"/>
      <c r="Q53" s="10"/>
      <c r="R53" s="10"/>
      <c r="S53" s="10"/>
    </row>
    <row r="54" spans="1:19" s="12" customFormat="1" x14ac:dyDescent="0.25">
      <c r="A54" s="1" t="s">
        <v>150</v>
      </c>
      <c r="B54" s="2">
        <v>4274312</v>
      </c>
      <c r="C54" s="3" t="s">
        <v>151</v>
      </c>
      <c r="D54" s="1" t="s">
        <v>152</v>
      </c>
      <c r="E54" s="1"/>
      <c r="F54" s="2">
        <v>1053724749</v>
      </c>
      <c r="G54" s="3" t="str">
        <f>VLOOKUP(Tabla26[[#This Row],[CC CONDUCTOR]],[1]!Tabla3[#Data],2,FALSE)</f>
        <v xml:space="preserve">FELIPE MARTINEZ </v>
      </c>
      <c r="H54" s="1"/>
      <c r="I54" s="1"/>
      <c r="J54" s="5">
        <v>46081</v>
      </c>
      <c r="K54" s="5">
        <v>46365</v>
      </c>
      <c r="L54" s="5">
        <v>46243</v>
      </c>
      <c r="M54" s="2">
        <v>10000</v>
      </c>
      <c r="N54" s="2"/>
      <c r="O54" s="1"/>
      <c r="P54" s="7"/>
      <c r="Q54" s="10"/>
      <c r="R54" s="10"/>
      <c r="S54" s="10"/>
    </row>
    <row r="55" spans="1:19" s="12" customFormat="1" x14ac:dyDescent="0.25">
      <c r="A55" s="1" t="s">
        <v>153</v>
      </c>
      <c r="B55" s="2">
        <v>80321646</v>
      </c>
      <c r="C55" s="3" t="s">
        <v>103</v>
      </c>
      <c r="D55" s="1"/>
      <c r="E55" s="1"/>
      <c r="F55" s="2">
        <v>80321646</v>
      </c>
      <c r="G55" s="3" t="str">
        <f>VLOOKUP(Tabla26[[#This Row],[CC CONDUCTOR]],[1]!Tabla3[#Data],2,FALSE)</f>
        <v>JULIO CESAR DURAN CASAS</v>
      </c>
      <c r="H55" s="1"/>
      <c r="I55" s="1"/>
      <c r="J55" s="5">
        <v>46024</v>
      </c>
      <c r="K55" s="5">
        <v>46984</v>
      </c>
      <c r="L55" s="5">
        <v>46117</v>
      </c>
      <c r="M55" s="2">
        <v>6000</v>
      </c>
      <c r="N55" s="2"/>
      <c r="O55" s="1"/>
      <c r="P55" s="7"/>
      <c r="Q55" s="10"/>
      <c r="R55" s="10"/>
      <c r="S55" s="10"/>
    </row>
    <row r="56" spans="1:19" s="12" customFormat="1" x14ac:dyDescent="0.25">
      <c r="A56" s="1" t="s">
        <v>154</v>
      </c>
      <c r="B56" s="2">
        <v>3154379</v>
      </c>
      <c r="C56" s="3" t="s">
        <v>155</v>
      </c>
      <c r="D56" s="1"/>
      <c r="E56" s="1"/>
      <c r="F56" s="2">
        <v>1071549262</v>
      </c>
      <c r="G56" s="3" t="str">
        <f>VLOOKUP(Tabla26[[#This Row],[CC CONDUCTOR]],[1]!Tabla3[#Data],2,FALSE)</f>
        <v>EDISON ANDRES MARTINEZ LEON</v>
      </c>
      <c r="H56" s="1"/>
      <c r="I56" s="1"/>
      <c r="J56" s="5">
        <v>46027</v>
      </c>
      <c r="K56" s="13">
        <v>46018</v>
      </c>
      <c r="L56" s="5">
        <v>46180</v>
      </c>
      <c r="M56" s="2">
        <v>10000</v>
      </c>
      <c r="N56" s="2"/>
      <c r="O56" s="1"/>
      <c r="P56" s="7"/>
      <c r="Q56" s="10"/>
      <c r="R56" s="10"/>
      <c r="S56" s="10"/>
    </row>
    <row r="57" spans="1:19" x14ac:dyDescent="0.25">
      <c r="A57" s="1" t="s">
        <v>156</v>
      </c>
      <c r="B57" s="2">
        <v>8600588314</v>
      </c>
      <c r="C57" s="3" t="s">
        <v>100</v>
      </c>
      <c r="D57" s="1"/>
      <c r="E57" s="1"/>
      <c r="F57" s="2">
        <v>3152251</v>
      </c>
      <c r="G57" s="3" t="str">
        <f>VLOOKUP(Tabla26[[#This Row],[CC CONDUCTOR]],[1]!Tabla3[#Data],2,FALSE)</f>
        <v>NERFE MAYORGA MONGUI</v>
      </c>
      <c r="H57" s="1"/>
      <c r="I57" s="1"/>
      <c r="J57" s="5">
        <v>46009</v>
      </c>
      <c r="K57" s="22">
        <v>46784</v>
      </c>
      <c r="L57" s="5">
        <v>46178</v>
      </c>
      <c r="M57" s="2">
        <v>10000</v>
      </c>
      <c r="N57" s="2"/>
      <c r="O57" s="1"/>
      <c r="P57" s="7"/>
      <c r="Q57" s="9"/>
      <c r="R57" s="9"/>
      <c r="S57" s="9"/>
    </row>
    <row r="58" spans="1:19" x14ac:dyDescent="0.25">
      <c r="A58" s="1" t="s">
        <v>157</v>
      </c>
      <c r="B58" s="2">
        <v>9010638527</v>
      </c>
      <c r="C58" s="3" t="s">
        <v>158</v>
      </c>
      <c r="D58" s="1"/>
      <c r="E58" s="1"/>
      <c r="F58" s="2">
        <v>93479137</v>
      </c>
      <c r="G58" s="3" t="str">
        <f>VLOOKUP(Tabla26[[#This Row],[CC CONDUCTOR]],[1]!Tabla3[#Data],2,FALSE)</f>
        <v>CARLOS JOSE ORTIZ MORALES</v>
      </c>
      <c r="H58" s="1"/>
      <c r="I58" s="1"/>
      <c r="J58" s="5">
        <v>46275</v>
      </c>
      <c r="K58" s="22"/>
      <c r="L58" s="5">
        <v>46264</v>
      </c>
      <c r="M58" s="2">
        <v>8000</v>
      </c>
      <c r="N58" s="2"/>
      <c r="O58" s="1"/>
      <c r="P58" s="7"/>
      <c r="Q58" s="9"/>
      <c r="R58" s="9"/>
      <c r="S58" s="9"/>
    </row>
    <row r="59" spans="1:19" x14ac:dyDescent="0.25">
      <c r="A59" s="1" t="s">
        <v>159</v>
      </c>
      <c r="B59" s="2">
        <v>17322868</v>
      </c>
      <c r="C59" s="3" t="s">
        <v>29</v>
      </c>
      <c r="D59" s="1"/>
      <c r="E59" s="1"/>
      <c r="F59" s="2">
        <v>80003541</v>
      </c>
      <c r="G59" s="3" t="str">
        <f>VLOOKUP(Tabla26[[#This Row],[CC CONDUCTOR]],[1]!Tabla3[#Data],2,FALSE)</f>
        <v>JOSE DUQUE</v>
      </c>
      <c r="H59" s="1"/>
      <c r="I59" s="1"/>
      <c r="J59" s="5">
        <v>46134</v>
      </c>
      <c r="K59" s="5">
        <v>46403</v>
      </c>
      <c r="L59" s="5">
        <v>46132</v>
      </c>
      <c r="M59" s="2">
        <v>4000</v>
      </c>
      <c r="N59" s="2"/>
      <c r="O59" s="1"/>
      <c r="P59" s="7"/>
      <c r="Q59" s="9"/>
      <c r="R59" s="9"/>
      <c r="S59" s="9"/>
    </row>
    <row r="60" spans="1:19" x14ac:dyDescent="0.25">
      <c r="A60" s="1" t="s">
        <v>160</v>
      </c>
      <c r="B60" s="2">
        <v>8600672037</v>
      </c>
      <c r="C60" s="3" t="s">
        <v>161</v>
      </c>
      <c r="D60" s="1" t="s">
        <v>162</v>
      </c>
      <c r="E60" s="1"/>
      <c r="F60" s="2">
        <v>80242407</v>
      </c>
      <c r="G60" s="3" t="str">
        <f>VLOOKUP(Tabla26[[#This Row],[CC CONDUCTOR]],[1]!Tabla3[#Data],2,FALSE)</f>
        <v>MIGUEL ALEXANDER PARRADO MORA</v>
      </c>
      <c r="H60" s="1" t="s">
        <v>163</v>
      </c>
      <c r="I60" s="1"/>
      <c r="J60" s="5">
        <v>46359</v>
      </c>
      <c r="K60" s="5">
        <v>46039</v>
      </c>
      <c r="L60" s="5">
        <v>46002</v>
      </c>
      <c r="M60" s="2">
        <v>8000</v>
      </c>
      <c r="N60" s="2"/>
      <c r="O60" s="1"/>
      <c r="P60" s="7"/>
      <c r="Q60" s="9"/>
      <c r="R60" s="9"/>
      <c r="S60" s="9"/>
    </row>
    <row r="61" spans="1:19" x14ac:dyDescent="0.25">
      <c r="A61" s="1" t="s">
        <v>164</v>
      </c>
      <c r="B61" s="2">
        <v>1056688840</v>
      </c>
      <c r="C61" s="3" t="s">
        <v>165</v>
      </c>
      <c r="D61" s="1" t="s">
        <v>166</v>
      </c>
      <c r="E61" s="1">
        <v>3107984930</v>
      </c>
      <c r="F61" s="2">
        <v>1056688840</v>
      </c>
      <c r="G61" s="3" t="str">
        <f>VLOOKUP(Tabla26[[#This Row],[CC CONDUCTOR]],[1]!Tabla3[#Data],2,FALSE)</f>
        <v>JHON JAIRO GORDO CELIS</v>
      </c>
      <c r="H61" s="1" t="s">
        <v>166</v>
      </c>
      <c r="I61" s="1">
        <v>3107984930</v>
      </c>
      <c r="J61" s="5">
        <v>46324</v>
      </c>
      <c r="K61" s="5">
        <v>46060</v>
      </c>
      <c r="L61" s="5">
        <v>46099</v>
      </c>
      <c r="M61" s="2">
        <v>10000</v>
      </c>
      <c r="N61" s="2"/>
      <c r="O61" s="1"/>
      <c r="P61" s="7"/>
      <c r="Q61" s="9"/>
      <c r="R61" s="9"/>
      <c r="S61" s="9"/>
    </row>
    <row r="62" spans="1:19" x14ac:dyDescent="0.25">
      <c r="A62" s="1" t="s">
        <v>167</v>
      </c>
      <c r="B62" s="2">
        <v>79063368</v>
      </c>
      <c r="C62" s="3" t="s">
        <v>168</v>
      </c>
      <c r="D62" s="1" t="s">
        <v>169</v>
      </c>
      <c r="E62" s="1">
        <v>3007596231</v>
      </c>
      <c r="F62" s="2">
        <v>2960978</v>
      </c>
      <c r="G62" s="3" t="str">
        <f>VLOOKUP(Tabla26[[#This Row],[CC CONDUCTOR]],[1]!Tabla3[#Data],2,FALSE)</f>
        <v>JAIRO GUZMAN CESPEDES</v>
      </c>
      <c r="H62" s="1"/>
      <c r="I62" s="1"/>
      <c r="J62" s="5">
        <v>46288</v>
      </c>
      <c r="K62" s="5">
        <v>46060</v>
      </c>
      <c r="L62" s="5">
        <v>46076</v>
      </c>
      <c r="M62" s="2">
        <v>10000</v>
      </c>
      <c r="N62" s="2"/>
      <c r="O62" s="1">
        <v>175888879</v>
      </c>
      <c r="P62" s="7"/>
      <c r="Q62" s="9"/>
      <c r="R62" s="9"/>
      <c r="S62" s="9"/>
    </row>
    <row r="63" spans="1:19" x14ac:dyDescent="0.25">
      <c r="A63" s="1" t="s">
        <v>170</v>
      </c>
      <c r="B63" s="2">
        <v>9007296219</v>
      </c>
      <c r="C63" s="23" t="s">
        <v>171</v>
      </c>
      <c r="D63" s="1"/>
      <c r="E63" s="1"/>
      <c r="F63" s="2">
        <v>80429181</v>
      </c>
      <c r="G63" s="3" t="str">
        <f>VLOOKUP(Tabla26[[#This Row],[CC CONDUCTOR]],[1]!Tabla3[#Data],2,FALSE)</f>
        <v>EDGAR AURELIO PEÑA CASTRO</v>
      </c>
      <c r="H63" s="1"/>
      <c r="I63" s="1"/>
      <c r="J63" s="5">
        <v>46269</v>
      </c>
      <c r="K63" s="5">
        <v>46739</v>
      </c>
      <c r="L63" s="5">
        <v>46271</v>
      </c>
      <c r="M63" s="2">
        <v>10000</v>
      </c>
      <c r="N63" s="2"/>
      <c r="O63" s="1"/>
      <c r="P63" s="7"/>
      <c r="Q63" s="9"/>
      <c r="R63" s="9"/>
      <c r="S63" s="9"/>
    </row>
    <row r="64" spans="1:19" x14ac:dyDescent="0.25">
      <c r="A64" s="1" t="s">
        <v>172</v>
      </c>
      <c r="B64" s="2">
        <v>74373295</v>
      </c>
      <c r="C64" s="3" t="s">
        <v>173</v>
      </c>
      <c r="D64" s="1"/>
      <c r="E64" s="1"/>
      <c r="F64" s="2">
        <v>1072895527</v>
      </c>
      <c r="G64" s="3" t="str">
        <f>VLOOKUP(Tabla26[[#This Row],[CC CONDUCTOR]],[1]!Tabla3[#Data],2,FALSE)</f>
        <v>NEIDER GARIBELLO</v>
      </c>
      <c r="H64" s="1" t="s">
        <v>174</v>
      </c>
      <c r="I64" s="1"/>
      <c r="J64" s="5">
        <v>46227</v>
      </c>
      <c r="K64" s="5">
        <v>46597</v>
      </c>
      <c r="L64" s="5" t="s">
        <v>175</v>
      </c>
      <c r="M64" s="2">
        <v>10000</v>
      </c>
      <c r="N64" s="2"/>
      <c r="O64" s="1"/>
      <c r="P64" s="7"/>
      <c r="Q64" s="9"/>
      <c r="R64" s="9"/>
      <c r="S64" s="9"/>
    </row>
    <row r="65" spans="1:19" s="12" customFormat="1" x14ac:dyDescent="0.25">
      <c r="A65" s="1" t="s">
        <v>176</v>
      </c>
      <c r="B65" s="2">
        <v>82389900</v>
      </c>
      <c r="C65" s="3" t="s">
        <v>177</v>
      </c>
      <c r="D65" s="1" t="s">
        <v>178</v>
      </c>
      <c r="E65" s="1">
        <v>3143321705</v>
      </c>
      <c r="F65" s="2">
        <v>2965877</v>
      </c>
      <c r="G65" s="3" t="str">
        <f>VLOOKUP(Tabla26[[#This Row],[CC CONDUCTOR]],[1]!Tabla3[#Data],2,FALSE)</f>
        <v>LUIS ALEXANDER MARTINEZ BALLESTEROS</v>
      </c>
      <c r="H65" s="1"/>
      <c r="I65" s="1"/>
      <c r="J65" s="5">
        <v>46027</v>
      </c>
      <c r="K65" s="5">
        <v>46363</v>
      </c>
      <c r="L65" s="5">
        <v>46022</v>
      </c>
      <c r="M65" s="2">
        <v>10000</v>
      </c>
      <c r="N65" s="2"/>
      <c r="O65" s="1"/>
      <c r="P65" s="7"/>
      <c r="Q65" s="10"/>
      <c r="R65" s="10"/>
      <c r="S65" s="10"/>
    </row>
    <row r="66" spans="1:19" s="12" customFormat="1" x14ac:dyDescent="0.25">
      <c r="A66" s="1" t="s">
        <v>179</v>
      </c>
      <c r="B66" s="2">
        <v>1015478741</v>
      </c>
      <c r="C66" s="3" t="s">
        <v>180</v>
      </c>
      <c r="D66" s="1"/>
      <c r="E66" s="1"/>
      <c r="F66" s="2">
        <v>1073237552</v>
      </c>
      <c r="G66" s="3" t="str">
        <f>VLOOKUP(Tabla26[[#This Row],[CC CONDUCTOR]],[1]!Tabla3[#Data],2,FALSE)</f>
        <v>NESTOR FABIAN HERNANDEZ OROZCO</v>
      </c>
      <c r="H66" s="1"/>
      <c r="I66" s="1"/>
      <c r="J66" s="5">
        <v>46066</v>
      </c>
      <c r="K66" s="5">
        <v>46087</v>
      </c>
      <c r="L66" s="5"/>
      <c r="M66" s="2">
        <v>10000</v>
      </c>
      <c r="N66" s="2"/>
      <c r="O66" s="1"/>
      <c r="P66" s="7"/>
      <c r="Q66" s="10"/>
      <c r="R66" s="10"/>
      <c r="S66" s="10"/>
    </row>
    <row r="67" spans="1:19" s="12" customFormat="1" x14ac:dyDescent="0.25">
      <c r="A67" s="1" t="s">
        <v>181</v>
      </c>
      <c r="B67" s="2">
        <v>2965714</v>
      </c>
      <c r="C67" s="3" t="s">
        <v>182</v>
      </c>
      <c r="D67" s="1"/>
      <c r="E67" s="1"/>
      <c r="F67" s="2">
        <v>2965714</v>
      </c>
      <c r="G67" s="3" t="str">
        <f>VLOOKUP(Tabla26[[#This Row],[CC CONDUCTOR]],[1]!Tabla3[#Data],2,FALSE)</f>
        <v>ANGEL IGNACIO RIVERA DELGADILLO</v>
      </c>
      <c r="H67" s="1"/>
      <c r="I67" s="1"/>
      <c r="J67" s="5">
        <v>46053</v>
      </c>
      <c r="K67" s="5">
        <v>46892</v>
      </c>
      <c r="L67" s="5">
        <v>46211</v>
      </c>
      <c r="M67" s="2">
        <v>10000</v>
      </c>
      <c r="N67" s="2"/>
      <c r="O67" s="1"/>
      <c r="P67" s="7"/>
      <c r="Q67" s="10"/>
      <c r="R67" s="10"/>
      <c r="S67" s="10"/>
    </row>
    <row r="68" spans="1:19" x14ac:dyDescent="0.25">
      <c r="A68" s="1" t="s">
        <v>183</v>
      </c>
      <c r="B68" s="2">
        <v>74361274</v>
      </c>
      <c r="C68" s="3" t="s">
        <v>184</v>
      </c>
      <c r="D68" s="1" t="s">
        <v>185</v>
      </c>
      <c r="E68" s="1"/>
      <c r="F68" s="2">
        <v>1048847155</v>
      </c>
      <c r="G68" s="3" t="str">
        <f>VLOOKUP(Tabla26[[#This Row],[CC CONDUCTOR]],[1]!Tabla3[#Data],2,FALSE)</f>
        <v>FERNANDO VANEGAS MARTIN</v>
      </c>
      <c r="H68" s="1"/>
      <c r="I68" s="1"/>
      <c r="J68" s="5">
        <v>46220</v>
      </c>
      <c r="K68" s="5">
        <v>46117</v>
      </c>
      <c r="L68" s="5">
        <v>46204</v>
      </c>
      <c r="M68" s="2">
        <v>10000</v>
      </c>
      <c r="N68" s="2"/>
      <c r="O68" s="1"/>
      <c r="P68" s="7"/>
      <c r="Q68" s="9"/>
      <c r="R68" s="9"/>
      <c r="S68" s="9"/>
    </row>
    <row r="69" spans="1:19" x14ac:dyDescent="0.25">
      <c r="A69" s="1" t="s">
        <v>186</v>
      </c>
      <c r="B69" s="2">
        <v>53931903</v>
      </c>
      <c r="C69" s="3" t="s">
        <v>187</v>
      </c>
      <c r="D69" s="1"/>
      <c r="E69" s="1"/>
      <c r="F69" s="2">
        <v>11257184</v>
      </c>
      <c r="G69" s="3" t="s">
        <v>188</v>
      </c>
      <c r="H69" s="1"/>
      <c r="I69" s="1"/>
      <c r="J69" s="5">
        <v>46165</v>
      </c>
      <c r="K69" s="20">
        <v>46070</v>
      </c>
      <c r="L69" s="5">
        <v>46185</v>
      </c>
      <c r="M69" s="19">
        <v>10000</v>
      </c>
      <c r="N69" s="2"/>
      <c r="O69" s="1"/>
      <c r="P69" s="7"/>
      <c r="Q69" s="9"/>
      <c r="R69" s="9"/>
      <c r="S69" s="9"/>
    </row>
    <row r="70" spans="1:19" x14ac:dyDescent="0.25">
      <c r="A70" s="1" t="s">
        <v>189</v>
      </c>
      <c r="B70" s="2">
        <v>33676676</v>
      </c>
      <c r="C70" s="3" t="s">
        <v>190</v>
      </c>
      <c r="D70" s="1"/>
      <c r="E70" s="1"/>
      <c r="F70" s="2">
        <v>1053725031</v>
      </c>
      <c r="G70" s="3" t="str">
        <f>VLOOKUP(Tabla26[[#This Row],[CC CONDUCTOR]],[1]!Tabla3[#Data],2,FALSE)</f>
        <v>DIEGO ARNULFO MOLINA PEÑA</v>
      </c>
      <c r="H70" s="1"/>
      <c r="I70" s="1"/>
      <c r="J70" s="5">
        <v>46165</v>
      </c>
      <c r="K70" s="5">
        <v>46958</v>
      </c>
      <c r="L70" s="5">
        <v>46154</v>
      </c>
      <c r="M70" s="2">
        <v>10000</v>
      </c>
      <c r="N70" s="2"/>
      <c r="O70" s="1"/>
      <c r="P70" s="7"/>
      <c r="Q70" s="9"/>
      <c r="R70" s="9"/>
      <c r="S70" s="9"/>
    </row>
    <row r="71" spans="1:19" x14ac:dyDescent="0.25">
      <c r="A71" s="1" t="s">
        <v>191</v>
      </c>
      <c r="B71" s="2">
        <v>7560273</v>
      </c>
      <c r="C71" s="3" t="s">
        <v>192</v>
      </c>
      <c r="D71" s="1"/>
      <c r="E71" s="1"/>
      <c r="F71" s="2">
        <v>1024510989</v>
      </c>
      <c r="G71" s="3" t="str">
        <f>VLOOKUP(Tabla26[[#This Row],[CC CONDUCTOR]],[1]!Tabla3[#Data],2,FALSE)</f>
        <v>FREDY ANDRES BARON MACIAS</v>
      </c>
      <c r="H71" s="1"/>
      <c r="I71" s="1"/>
      <c r="J71" s="5">
        <v>46338</v>
      </c>
      <c r="K71" s="5">
        <v>46658</v>
      </c>
      <c r="L71" s="5">
        <v>46341</v>
      </c>
      <c r="M71" s="2">
        <v>6000</v>
      </c>
      <c r="N71" s="2"/>
      <c r="O71" s="1"/>
      <c r="P71" s="7"/>
      <c r="Q71" s="9"/>
      <c r="R71" s="9"/>
      <c r="S71" s="9"/>
    </row>
    <row r="72" spans="1:19" x14ac:dyDescent="0.25">
      <c r="A72" s="1" t="s">
        <v>193</v>
      </c>
      <c r="B72" s="2">
        <v>21046664</v>
      </c>
      <c r="C72" s="3" t="s">
        <v>194</v>
      </c>
      <c r="D72" s="1"/>
      <c r="E72" s="1"/>
      <c r="F72" s="2">
        <v>1069756710</v>
      </c>
      <c r="G72" s="3" t="str">
        <f>VLOOKUP(Tabla26[[#This Row],[CC CONDUCTOR]],[1]!Tabla3[#Data],2,FALSE)</f>
        <v>ROMEO BELTRAN DUBAN FELIPE</v>
      </c>
      <c r="H72" s="1"/>
      <c r="I72" s="1"/>
      <c r="J72" s="5">
        <v>46248</v>
      </c>
      <c r="K72" s="13">
        <v>46108</v>
      </c>
      <c r="L72" s="5">
        <v>46007</v>
      </c>
      <c r="M72" s="2">
        <v>10000</v>
      </c>
      <c r="N72" s="2"/>
      <c r="O72" s="1"/>
      <c r="P72" s="7"/>
      <c r="Q72" s="9"/>
      <c r="R72" s="9"/>
      <c r="S72" s="9"/>
    </row>
    <row r="73" spans="1:19" s="12" customFormat="1" x14ac:dyDescent="0.25">
      <c r="A73" s="1" t="s">
        <v>195</v>
      </c>
      <c r="B73" s="2">
        <v>9015290801</v>
      </c>
      <c r="C73" s="3" t="s">
        <v>196</v>
      </c>
      <c r="D73" s="1"/>
      <c r="E73" s="1"/>
      <c r="F73" s="2">
        <v>5944975</v>
      </c>
      <c r="G73" s="3" t="str">
        <f>VLOOKUP(Tabla26[[#This Row],[CC CONDUCTOR]],[1]!Tabla3[#Data],2,FALSE)</f>
        <v>CLEMENTE  CARDONA  ALARCON</v>
      </c>
      <c r="H73" s="1" t="s">
        <v>197</v>
      </c>
      <c r="I73" s="1">
        <v>3223898811</v>
      </c>
      <c r="J73" s="5">
        <v>46234</v>
      </c>
      <c r="K73" s="5">
        <v>46358</v>
      </c>
      <c r="L73" s="5">
        <v>46236</v>
      </c>
      <c r="M73" s="2">
        <v>10000</v>
      </c>
      <c r="N73" s="2"/>
      <c r="O73" s="1"/>
      <c r="P73" s="7"/>
      <c r="Q73" s="10"/>
      <c r="R73" s="10"/>
      <c r="S73" s="10"/>
    </row>
    <row r="74" spans="1:19" x14ac:dyDescent="0.25">
      <c r="A74" s="1" t="s">
        <v>198</v>
      </c>
      <c r="B74" s="2">
        <v>79454664</v>
      </c>
      <c r="C74" s="3" t="s">
        <v>199</v>
      </c>
      <c r="D74" s="1"/>
      <c r="E74" s="1"/>
      <c r="F74" s="2">
        <v>1070384694</v>
      </c>
      <c r="G74" s="3" t="str">
        <f>VLOOKUP(Tabla26[[#This Row],[CC CONDUCTOR]],[1]!Tabla3[#Data],2,FALSE)</f>
        <v>DIEGO ALEJANDRO CASTILLO NOVA</v>
      </c>
      <c r="H74" s="1"/>
      <c r="I74" s="1"/>
      <c r="J74" s="5">
        <v>46148</v>
      </c>
      <c r="K74" s="5">
        <v>46991</v>
      </c>
      <c r="L74" s="5">
        <v>46039</v>
      </c>
      <c r="M74" s="2">
        <v>10000</v>
      </c>
      <c r="N74" s="2"/>
      <c r="O74" s="1"/>
      <c r="P74" s="7"/>
      <c r="Q74" s="9"/>
      <c r="R74" s="9"/>
      <c r="S74" s="9"/>
    </row>
    <row r="75" spans="1:19" x14ac:dyDescent="0.25">
      <c r="A75" s="1" t="s">
        <v>200</v>
      </c>
      <c r="B75" s="2">
        <v>33676765</v>
      </c>
      <c r="C75" s="3" t="s">
        <v>201</v>
      </c>
      <c r="D75" s="1"/>
      <c r="E75" s="1"/>
      <c r="F75" s="2">
        <v>1123086089</v>
      </c>
      <c r="G75" s="3" t="str">
        <f>VLOOKUP(Tabla26[[#This Row],[CC CONDUCTOR]],[1]!Tabla3[#Data],2,FALSE)</f>
        <v>ARLEY QUINTERO OSPINA</v>
      </c>
      <c r="H75" s="1"/>
      <c r="I75" s="1"/>
      <c r="J75" s="5">
        <v>46313</v>
      </c>
      <c r="K75" s="20">
        <v>46304</v>
      </c>
      <c r="L75" s="5">
        <v>46011</v>
      </c>
      <c r="M75" s="2">
        <v>8000</v>
      </c>
      <c r="N75" s="2"/>
      <c r="O75" s="1"/>
      <c r="P75" s="7"/>
      <c r="Q75" s="9"/>
      <c r="R75" s="9"/>
      <c r="S75" s="9"/>
    </row>
    <row r="76" spans="1:19" s="12" customFormat="1" x14ac:dyDescent="0.25">
      <c r="A76" s="14" t="s">
        <v>202</v>
      </c>
      <c r="B76" s="15">
        <v>9010491173</v>
      </c>
      <c r="C76" s="16" t="s">
        <v>203</v>
      </c>
      <c r="D76" s="14"/>
      <c r="E76" s="14"/>
      <c r="F76" s="15">
        <v>80312488</v>
      </c>
      <c r="G76" s="16" t="str">
        <f>VLOOKUP(Tabla26[[#This Row],[CC CONDUCTOR]],[1]!Tabla3[#Data],2,FALSE)</f>
        <v>NELSON BALLESTEROS PEDRAZA</v>
      </c>
      <c r="H76" s="14"/>
      <c r="I76" s="14"/>
      <c r="J76" s="17">
        <v>45938</v>
      </c>
      <c r="K76" s="17">
        <v>46587</v>
      </c>
      <c r="L76" s="17">
        <v>45938</v>
      </c>
      <c r="M76" s="15">
        <v>8000</v>
      </c>
      <c r="N76" s="15"/>
      <c r="O76" s="14"/>
      <c r="P76" s="18"/>
      <c r="Q76" s="10"/>
      <c r="R76" s="10"/>
      <c r="S76" s="10"/>
    </row>
    <row r="77" spans="1:19" s="12" customFormat="1" x14ac:dyDescent="0.25">
      <c r="A77" s="14" t="s">
        <v>204</v>
      </c>
      <c r="B77" s="15">
        <v>63479589</v>
      </c>
      <c r="C77" s="16" t="s">
        <v>205</v>
      </c>
      <c r="D77" s="14"/>
      <c r="E77" s="14"/>
      <c r="F77" s="15">
        <v>1073511288</v>
      </c>
      <c r="G77" s="16" t="str">
        <f>VLOOKUP(Tabla26[[#This Row],[CC CONDUCTOR]],[1]!Tabla3[#Data],2,FALSE)</f>
        <v>JAROL ANDRES DURAN SALDAÑA</v>
      </c>
      <c r="H77" s="14"/>
      <c r="I77" s="14"/>
      <c r="J77" s="17">
        <v>45638</v>
      </c>
      <c r="K77" s="24">
        <v>45907</v>
      </c>
      <c r="L77" s="17">
        <v>46295</v>
      </c>
      <c r="M77" s="15">
        <v>10000</v>
      </c>
      <c r="N77" s="15"/>
      <c r="O77" s="14"/>
      <c r="P77" s="18"/>
      <c r="Q77" s="10"/>
      <c r="R77" s="10"/>
      <c r="S77" s="10"/>
    </row>
    <row r="78" spans="1:19" s="12" customFormat="1" x14ac:dyDescent="0.25">
      <c r="A78" s="1" t="s">
        <v>206</v>
      </c>
      <c r="B78" s="2">
        <v>18416236</v>
      </c>
      <c r="C78" s="3" t="s">
        <v>131</v>
      </c>
      <c r="D78" s="1"/>
      <c r="E78" s="1"/>
      <c r="F78" s="2">
        <v>2948192</v>
      </c>
      <c r="G78" s="3" t="str">
        <f>VLOOKUP(Tabla26[[#This Row],[CC CONDUCTOR]],[1]!Tabla3[#Data],2,FALSE)</f>
        <v>JOSE RODRIGUEZ</v>
      </c>
      <c r="H78" s="1"/>
      <c r="I78" s="1"/>
      <c r="J78" s="5">
        <v>46019</v>
      </c>
      <c r="K78" s="13">
        <v>46737</v>
      </c>
      <c r="L78" s="5">
        <v>46219</v>
      </c>
      <c r="M78" s="2">
        <v>8000</v>
      </c>
      <c r="N78" s="2"/>
      <c r="O78" s="1"/>
      <c r="P78" s="7"/>
      <c r="Q78" s="10"/>
      <c r="R78" s="10"/>
      <c r="S78" s="10"/>
    </row>
    <row r="79" spans="1:19" x14ac:dyDescent="0.25">
      <c r="A79" s="1" t="s">
        <v>207</v>
      </c>
      <c r="B79" s="2">
        <v>41783197</v>
      </c>
      <c r="C79" s="3" t="s">
        <v>208</v>
      </c>
      <c r="D79" s="1"/>
      <c r="E79" s="1"/>
      <c r="F79" s="2">
        <v>177149</v>
      </c>
      <c r="G79" s="3" t="str">
        <f>VLOOKUP(Tabla26[[#This Row],[CC CONDUCTOR]],[1]!Tabla3[#Data],2,FALSE)</f>
        <v>JOSE VICENTE MONTAÑO BELTRAN</v>
      </c>
      <c r="H79" s="1" t="s">
        <v>209</v>
      </c>
      <c r="I79" s="1"/>
      <c r="J79" s="5">
        <v>46046</v>
      </c>
      <c r="K79" s="5">
        <v>46546</v>
      </c>
      <c r="L79" s="5">
        <v>46303</v>
      </c>
      <c r="M79" s="2">
        <v>10000</v>
      </c>
      <c r="N79" s="2"/>
      <c r="O79" s="1"/>
      <c r="P79" s="7"/>
      <c r="Q79" s="9"/>
      <c r="R79" s="9"/>
      <c r="S79" s="9"/>
    </row>
    <row r="80" spans="1:19" x14ac:dyDescent="0.25">
      <c r="A80" s="1" t="s">
        <v>210</v>
      </c>
      <c r="B80" s="2">
        <v>1018510472</v>
      </c>
      <c r="C80" s="3" t="s">
        <v>211</v>
      </c>
      <c r="D80" s="1"/>
      <c r="E80" s="1"/>
      <c r="F80" s="2">
        <v>1073511288</v>
      </c>
      <c r="G80" s="3" t="str">
        <f>VLOOKUP(Tabla26[[#This Row],[CC CONDUCTOR]],[1]!Tabla3[#Data],2,FALSE)</f>
        <v>JAROL ANDRES DURAN SALDAÑA</v>
      </c>
      <c r="H80" s="1"/>
      <c r="I80" s="1"/>
      <c r="J80" s="5">
        <v>46131</v>
      </c>
      <c r="K80" s="5">
        <v>46280</v>
      </c>
      <c r="L80" s="5">
        <v>46257</v>
      </c>
      <c r="M80" s="2">
        <v>10000</v>
      </c>
      <c r="N80" s="2"/>
      <c r="O80" s="1"/>
      <c r="P80" s="7"/>
      <c r="Q80" s="9"/>
      <c r="R80" s="9"/>
      <c r="S80" s="9"/>
    </row>
    <row r="81" spans="1:19" s="12" customFormat="1" x14ac:dyDescent="0.25">
      <c r="A81" s="1" t="s">
        <v>212</v>
      </c>
      <c r="B81" s="2">
        <v>4727951</v>
      </c>
      <c r="C81" s="3" t="s">
        <v>213</v>
      </c>
      <c r="D81" s="1"/>
      <c r="E81" s="1"/>
      <c r="F81" s="2">
        <v>1073246673</v>
      </c>
      <c r="G81" s="3" t="str">
        <f>VLOOKUP(Tabla26[[#This Row],[CC CONDUCTOR]],[1]!Tabla3[#Data],2,FALSE)</f>
        <v>AUGUSTO DURAN</v>
      </c>
      <c r="H81" s="1"/>
      <c r="I81" s="1"/>
      <c r="J81" s="5">
        <v>45990</v>
      </c>
      <c r="K81" s="13">
        <v>47005</v>
      </c>
      <c r="L81" s="5">
        <v>45994</v>
      </c>
      <c r="M81" s="2">
        <v>10000</v>
      </c>
      <c r="N81" s="2"/>
      <c r="O81" s="1"/>
      <c r="P81" s="7"/>
      <c r="Q81" s="10"/>
      <c r="R81" s="10"/>
      <c r="S81" s="10"/>
    </row>
    <row r="82" spans="1:19" s="12" customFormat="1" x14ac:dyDescent="0.25">
      <c r="A82" s="14" t="s">
        <v>214</v>
      </c>
      <c r="B82" s="15">
        <v>80019698</v>
      </c>
      <c r="C82" s="16" t="s">
        <v>133</v>
      </c>
      <c r="D82" s="14"/>
      <c r="E82" s="14"/>
      <c r="F82" s="15">
        <v>1069754647</v>
      </c>
      <c r="G82" s="16" t="str">
        <f>VLOOKUP(Tabla26[[#This Row],[CC CONDUCTOR]],[1]!Tabla3[#Data],2,FALSE)</f>
        <v>YILMAR ALEXIS PINILLA BOBADILLA</v>
      </c>
      <c r="H82" s="14"/>
      <c r="I82" s="14"/>
      <c r="J82" s="17">
        <v>46009</v>
      </c>
      <c r="K82" s="24">
        <v>46271</v>
      </c>
      <c r="L82" s="17">
        <v>46011</v>
      </c>
      <c r="M82" s="15">
        <v>10000</v>
      </c>
      <c r="N82" s="15"/>
      <c r="O82" s="14"/>
      <c r="P82" s="18"/>
      <c r="Q82" s="10"/>
      <c r="R82" s="10"/>
      <c r="S82" s="10"/>
    </row>
    <row r="83" spans="1:19" s="12" customFormat="1" x14ac:dyDescent="0.25">
      <c r="A83" s="14" t="s">
        <v>215</v>
      </c>
      <c r="B83" s="15">
        <v>7232324</v>
      </c>
      <c r="C83" s="16" t="s">
        <v>216</v>
      </c>
      <c r="D83" s="14"/>
      <c r="E83" s="14"/>
      <c r="F83" s="15">
        <v>7232324</v>
      </c>
      <c r="G83" s="16" t="str">
        <f>VLOOKUP(Tabla26[[#This Row],[CC CONDUCTOR]],[1]!Tabla3[#Data],2,FALSE)</f>
        <v>ALEXANDER PRECIADO BUENO</v>
      </c>
      <c r="H83" s="14"/>
      <c r="I83" s="14"/>
      <c r="J83" s="17">
        <v>45980</v>
      </c>
      <c r="K83" s="24">
        <v>46646</v>
      </c>
      <c r="L83" s="17">
        <v>46045</v>
      </c>
      <c r="M83" s="15">
        <v>20000</v>
      </c>
      <c r="N83" s="15"/>
      <c r="O83" s="14"/>
      <c r="P83" s="18"/>
      <c r="Q83" s="10"/>
      <c r="R83" s="10"/>
      <c r="S83" s="10"/>
    </row>
    <row r="84" spans="1:19" x14ac:dyDescent="0.25">
      <c r="A84" s="1" t="s">
        <v>217</v>
      </c>
      <c r="B84" s="2">
        <v>8110117798</v>
      </c>
      <c r="C84" s="3" t="s">
        <v>218</v>
      </c>
      <c r="D84" s="1"/>
      <c r="E84" s="1"/>
      <c r="F84" s="2">
        <v>80353615</v>
      </c>
      <c r="G84" s="3" t="str">
        <f>VLOOKUP(Tabla26[[#This Row],[CC CONDUCTOR]],[1]!Tabla3[#Data],2,FALSE)</f>
        <v>VICTOR LAUREANO RAMOS CONTRERAS</v>
      </c>
      <c r="H84" s="1"/>
      <c r="I84" s="1"/>
      <c r="J84" s="5">
        <v>46098</v>
      </c>
      <c r="K84" s="13">
        <v>46558</v>
      </c>
      <c r="L84" s="5">
        <v>46160</v>
      </c>
      <c r="M84" s="2">
        <v>10000</v>
      </c>
      <c r="N84" s="2"/>
      <c r="O84" s="1"/>
      <c r="P84" s="7"/>
      <c r="Q84" s="9"/>
      <c r="R84" s="9"/>
      <c r="S84" s="9"/>
    </row>
    <row r="85" spans="1:19" x14ac:dyDescent="0.25">
      <c r="A85" s="1" t="s">
        <v>219</v>
      </c>
      <c r="B85" s="2">
        <v>1053724110</v>
      </c>
      <c r="C85" s="3" t="s">
        <v>220</v>
      </c>
      <c r="D85" s="1"/>
      <c r="E85" s="1"/>
      <c r="F85" s="2">
        <v>1053724110</v>
      </c>
      <c r="G85" s="3" t="str">
        <f>VLOOKUP(Tabla26[[#This Row],[CC CONDUCTOR]],[1]!Tabla3[#Data],2,FALSE)</f>
        <v>LUIS CARDENAS</v>
      </c>
      <c r="H85" s="1"/>
      <c r="I85" s="1"/>
      <c r="J85" s="5">
        <v>46152</v>
      </c>
      <c r="K85" s="13">
        <v>47061</v>
      </c>
      <c r="L85" s="5">
        <v>46136</v>
      </c>
      <c r="M85" s="2">
        <v>10000</v>
      </c>
      <c r="N85" s="2"/>
      <c r="O85" s="1"/>
      <c r="P85" s="7"/>
      <c r="Q85" s="9"/>
      <c r="R85" s="9"/>
      <c r="S85" s="9"/>
    </row>
    <row r="86" spans="1:19" s="12" customFormat="1" x14ac:dyDescent="0.25">
      <c r="A86" s="1" t="s">
        <v>221</v>
      </c>
      <c r="B86" s="2">
        <v>1002958718</v>
      </c>
      <c r="C86" s="3" t="s">
        <v>222</v>
      </c>
      <c r="D86" s="1"/>
      <c r="E86" s="1"/>
      <c r="F86" s="21">
        <v>1003640434</v>
      </c>
      <c r="G86" s="3" t="str">
        <f>VLOOKUP(Tabla26[[#This Row],[CC CONDUCTOR]],[1]!Tabla3[#Data],2,FALSE)</f>
        <v>GERMAN ALEXANDER BULLA CRISTANCHO</v>
      </c>
      <c r="H86" s="1"/>
      <c r="I86" s="1"/>
      <c r="J86" s="5">
        <v>46232</v>
      </c>
      <c r="K86" s="13">
        <v>47064</v>
      </c>
      <c r="L86" s="5">
        <v>46238</v>
      </c>
      <c r="M86" s="2">
        <v>10000</v>
      </c>
      <c r="N86" s="2"/>
      <c r="O86" s="1"/>
      <c r="P86" s="7"/>
      <c r="Q86" s="10"/>
      <c r="R86" s="10"/>
      <c r="S86" s="10"/>
    </row>
    <row r="87" spans="1:19" x14ac:dyDescent="0.25">
      <c r="A87" s="1" t="s">
        <v>223</v>
      </c>
      <c r="B87" s="2">
        <v>9014592052</v>
      </c>
      <c r="C87" s="3" t="s">
        <v>60</v>
      </c>
      <c r="D87" s="1" t="s">
        <v>61</v>
      </c>
      <c r="E87" s="1">
        <v>3208771806</v>
      </c>
      <c r="F87" s="2">
        <v>74335772</v>
      </c>
      <c r="G87" s="3" t="str">
        <f>VLOOKUP(Tabla26[[#This Row],[CC CONDUCTOR]],[1]!Tabla3[#Data],2,FALSE)</f>
        <v>JORGE ERNESTO DUEÑAS MENDOZA</v>
      </c>
      <c r="H87" s="1" t="s">
        <v>224</v>
      </c>
      <c r="I87" s="1">
        <v>3177099927</v>
      </c>
      <c r="J87" s="5">
        <v>46357</v>
      </c>
      <c r="K87" s="5">
        <v>46734</v>
      </c>
      <c r="L87" s="5">
        <v>46198</v>
      </c>
      <c r="M87" s="2">
        <v>10000</v>
      </c>
      <c r="N87" s="2"/>
      <c r="O87" s="1"/>
      <c r="P87" s="7"/>
      <c r="Q87" s="9"/>
      <c r="R87" s="9"/>
      <c r="S87" s="9"/>
    </row>
    <row r="88" spans="1:19" x14ac:dyDescent="0.25">
      <c r="A88" s="1" t="s">
        <v>225</v>
      </c>
      <c r="B88" s="2">
        <v>8605221641</v>
      </c>
      <c r="C88" s="3" t="s">
        <v>226</v>
      </c>
      <c r="D88" s="1" t="s">
        <v>227</v>
      </c>
      <c r="E88" s="1">
        <v>3183117740</v>
      </c>
      <c r="F88" s="2">
        <v>81754316</v>
      </c>
      <c r="G88" s="3" t="str">
        <f>VLOOKUP(Tabla26[[#This Row],[CC CONDUCTOR]],[1]!Tabla3[#Data],2,FALSE)</f>
        <v>FABIAN CASTILLO</v>
      </c>
      <c r="H88" s="1" t="s">
        <v>228</v>
      </c>
      <c r="I88" s="1" t="s">
        <v>229</v>
      </c>
      <c r="J88" s="5">
        <v>46100</v>
      </c>
      <c r="K88" s="5">
        <v>46608</v>
      </c>
      <c r="L88" s="5">
        <v>46210</v>
      </c>
      <c r="M88" s="2">
        <v>10000</v>
      </c>
      <c r="N88" s="2"/>
      <c r="O88" s="1">
        <v>175887709</v>
      </c>
      <c r="P88" s="7" t="s">
        <v>230</v>
      </c>
      <c r="Q88" s="9"/>
      <c r="R88" s="9"/>
      <c r="S88" s="9"/>
    </row>
    <row r="89" spans="1:19" x14ac:dyDescent="0.25">
      <c r="A89" s="1" t="s">
        <v>231</v>
      </c>
      <c r="B89" s="2">
        <v>1056688224</v>
      </c>
      <c r="C89" s="3" t="s">
        <v>232</v>
      </c>
      <c r="D89" s="1"/>
      <c r="E89" s="1"/>
      <c r="F89" s="2">
        <v>1056688224</v>
      </c>
      <c r="G89" s="3" t="str">
        <f>VLOOKUP(Tabla26[[#This Row],[CC CONDUCTOR]],[1]!Tabla3[#Data],2,FALSE)</f>
        <v>NESTOR ANDRES SABOGAL GORDO</v>
      </c>
      <c r="H89" s="1"/>
      <c r="I89" s="5"/>
      <c r="J89" s="5">
        <v>46186</v>
      </c>
      <c r="K89" s="5">
        <v>46709</v>
      </c>
      <c r="L89" s="5">
        <v>46190</v>
      </c>
      <c r="M89" s="2">
        <v>10000</v>
      </c>
      <c r="N89" s="2"/>
      <c r="O89" s="1"/>
      <c r="P89" s="7"/>
      <c r="Q89" s="9"/>
      <c r="R89" s="9"/>
      <c r="S89" s="9"/>
    </row>
    <row r="90" spans="1:19" x14ac:dyDescent="0.25">
      <c r="A90" s="1" t="s">
        <v>233</v>
      </c>
      <c r="B90" s="2">
        <v>17659393</v>
      </c>
      <c r="C90" s="3" t="s">
        <v>234</v>
      </c>
      <c r="D90" s="1"/>
      <c r="E90" s="1"/>
      <c r="F90" s="2">
        <v>1003652176</v>
      </c>
      <c r="G90" s="3" t="str">
        <f>VLOOKUP(Tabla26[[#This Row],[CC CONDUCTOR]],[1]!Tabla3[#Data],2,FALSE)</f>
        <v>EDGAR DUVAN JIMENEZ SANCHEZ</v>
      </c>
      <c r="H90" s="1"/>
      <c r="I90" s="1"/>
      <c r="J90" s="5">
        <v>46199</v>
      </c>
      <c r="K90" s="20">
        <v>46676</v>
      </c>
      <c r="L90" s="5">
        <v>46199</v>
      </c>
      <c r="M90" s="2">
        <v>6000</v>
      </c>
      <c r="N90" s="2"/>
      <c r="O90" s="1"/>
      <c r="P90" s="7"/>
      <c r="Q90" s="9"/>
      <c r="R90" s="9"/>
      <c r="S90" s="9"/>
    </row>
    <row r="91" spans="1:19" x14ac:dyDescent="0.25">
      <c r="A91" s="1" t="s">
        <v>235</v>
      </c>
      <c r="B91" s="2">
        <v>1010233495</v>
      </c>
      <c r="C91" s="3" t="s">
        <v>236</v>
      </c>
      <c r="D91" s="1"/>
      <c r="E91" s="1">
        <v>3183118181</v>
      </c>
      <c r="F91" s="2">
        <v>79127559</v>
      </c>
      <c r="G91" s="3" t="str">
        <f>VLOOKUP(Tabla26[[#This Row],[CC CONDUCTOR]],[1]!Tabla3[#Data],2,FALSE)</f>
        <v>OSWALDO RODRIGUEZ</v>
      </c>
      <c r="H91" s="1"/>
      <c r="I91" s="1"/>
      <c r="J91" s="5">
        <v>46129</v>
      </c>
      <c r="K91" s="5">
        <v>46831</v>
      </c>
      <c r="L91" s="5" t="s">
        <v>237</v>
      </c>
      <c r="M91" s="2">
        <v>8000</v>
      </c>
      <c r="N91" s="2"/>
      <c r="O91" s="1"/>
      <c r="P91" s="7"/>
      <c r="Q91" s="9"/>
      <c r="R91" s="9"/>
      <c r="S91" s="9"/>
    </row>
    <row r="92" spans="1:19" x14ac:dyDescent="0.25">
      <c r="A92" s="1" t="s">
        <v>238</v>
      </c>
      <c r="B92" s="2">
        <v>74335175</v>
      </c>
      <c r="C92" s="3" t="s">
        <v>239</v>
      </c>
      <c r="D92" s="1" t="s">
        <v>240</v>
      </c>
      <c r="E92" s="1"/>
      <c r="F92" s="2">
        <v>74335175</v>
      </c>
      <c r="G92" s="3" t="str">
        <f>VLOOKUP(Tabla26[[#This Row],[CC CONDUCTOR]],[1]!Tabla3[#Data],2,FALSE)</f>
        <v>LUIS MARTIN CHAVES RODRIGUEZ</v>
      </c>
      <c r="H92" s="1"/>
      <c r="I92" s="1"/>
      <c r="J92" s="5">
        <v>46319</v>
      </c>
      <c r="K92" s="5">
        <v>46639</v>
      </c>
      <c r="L92" s="5">
        <v>46357</v>
      </c>
      <c r="M92" s="2">
        <v>10000</v>
      </c>
      <c r="N92" s="2"/>
      <c r="O92" s="1"/>
      <c r="P92" s="7"/>
      <c r="Q92" s="9"/>
      <c r="R92" s="9"/>
      <c r="S92" s="9"/>
    </row>
    <row r="93" spans="1:19" x14ac:dyDescent="0.25">
      <c r="A93" s="1" t="s">
        <v>241</v>
      </c>
      <c r="B93" s="2">
        <v>8909039388</v>
      </c>
      <c r="C93" s="3" t="s">
        <v>242</v>
      </c>
      <c r="D93" s="1" t="s">
        <v>243</v>
      </c>
      <c r="E93" s="1"/>
      <c r="F93" s="2">
        <v>84072552</v>
      </c>
      <c r="G93" s="3" t="str">
        <f>VLOOKUP(Tabla26[[#This Row],[CC CONDUCTOR]],[1]!Tabla3[#Data],2,FALSE)</f>
        <v>FERNANDO CASAS ROMERO</v>
      </c>
      <c r="H93" s="1"/>
      <c r="I93" s="1"/>
      <c r="J93" s="5">
        <v>46199</v>
      </c>
      <c r="K93" s="5">
        <v>46041</v>
      </c>
      <c r="L93" s="5">
        <v>46199</v>
      </c>
      <c r="M93" s="2">
        <v>16000</v>
      </c>
      <c r="N93" s="2"/>
      <c r="O93" s="1"/>
      <c r="P93" s="7"/>
      <c r="Q93" s="9"/>
      <c r="R93" s="9"/>
      <c r="S93" s="9"/>
    </row>
    <row r="94" spans="1:19" x14ac:dyDescent="0.25">
      <c r="A94" s="1" t="s">
        <v>244</v>
      </c>
      <c r="B94" s="2">
        <v>79064191</v>
      </c>
      <c r="C94" s="3" t="s">
        <v>245</v>
      </c>
      <c r="D94" s="1"/>
      <c r="E94" s="1"/>
      <c r="F94" s="2">
        <v>79064191</v>
      </c>
      <c r="G94" s="3" t="str">
        <f>VLOOKUP(Tabla26[[#This Row],[CC CONDUCTOR]],[1]!Tabla3[#Data],2,FALSE)</f>
        <v>SAUL IGNACIO PATARROYO MAYORGA</v>
      </c>
      <c r="H94" s="1"/>
      <c r="I94" s="1"/>
      <c r="J94" s="5">
        <v>46320</v>
      </c>
      <c r="K94" s="5">
        <v>46294</v>
      </c>
      <c r="L94" s="5">
        <v>46320</v>
      </c>
      <c r="M94" s="2">
        <v>10000</v>
      </c>
      <c r="N94" s="2"/>
      <c r="O94" s="1"/>
      <c r="P94" s="7"/>
      <c r="Q94" s="9"/>
      <c r="R94" s="9"/>
      <c r="S94" s="9"/>
    </row>
    <row r="95" spans="1:19" s="12" customFormat="1" ht="15.75" customHeight="1" x14ac:dyDescent="0.25">
      <c r="A95" s="1" t="s">
        <v>246</v>
      </c>
      <c r="B95" s="2">
        <v>79062710</v>
      </c>
      <c r="C95" s="3" t="s">
        <v>247</v>
      </c>
      <c r="D95" s="1"/>
      <c r="E95" s="1"/>
      <c r="F95" s="2">
        <v>80311610</v>
      </c>
      <c r="G95" s="3" t="str">
        <f>VLOOKUP(Tabla26[[#This Row],[CC CONDUCTOR]],[1]!Tabla3[#Data],2,FALSE)</f>
        <v>HUGO RAMIREZ VEGA</v>
      </c>
      <c r="H95" s="1"/>
      <c r="I95" s="1"/>
      <c r="J95" s="5">
        <v>46049</v>
      </c>
      <c r="K95" s="5">
        <v>46915</v>
      </c>
      <c r="L95" s="5">
        <v>46051</v>
      </c>
      <c r="M95" s="2">
        <v>8000</v>
      </c>
      <c r="N95" s="2"/>
      <c r="O95" s="1"/>
      <c r="P95" s="7"/>
      <c r="Q95" s="10"/>
      <c r="R95" s="10"/>
      <c r="S95" s="10"/>
    </row>
    <row r="96" spans="1:19" s="12" customFormat="1" x14ac:dyDescent="0.25">
      <c r="A96" s="1" t="s">
        <v>248</v>
      </c>
      <c r="B96" s="2">
        <v>1048848502</v>
      </c>
      <c r="C96" s="3" t="s">
        <v>249</v>
      </c>
      <c r="D96" s="1" t="s">
        <v>250</v>
      </c>
      <c r="E96" s="1">
        <v>3138461200</v>
      </c>
      <c r="F96" s="2">
        <v>1002540865</v>
      </c>
      <c r="G96" s="3" t="str">
        <f>VLOOKUP(Tabla26[[#This Row],[CC CONDUCTOR]],[1]!Tabla3[#Data],2,FALSE)</f>
        <v>YONY LUIS SANCHEZ RAMIREZ</v>
      </c>
      <c r="H96" s="1"/>
      <c r="I96" s="1">
        <v>3138461200</v>
      </c>
      <c r="J96" s="5">
        <v>46273</v>
      </c>
      <c r="K96" s="5">
        <v>46747</v>
      </c>
      <c r="L96" s="5">
        <v>46095</v>
      </c>
      <c r="M96" s="2">
        <v>10000</v>
      </c>
      <c r="N96" s="2"/>
      <c r="O96" s="1">
        <v>175889883</v>
      </c>
      <c r="P96" s="7"/>
      <c r="Q96" s="10"/>
      <c r="R96" s="10"/>
      <c r="S96" s="10"/>
    </row>
    <row r="97" spans="1:19" x14ac:dyDescent="0.25">
      <c r="A97" s="1" t="s">
        <v>251</v>
      </c>
      <c r="B97" s="2">
        <v>4129927</v>
      </c>
      <c r="C97" s="3" t="s">
        <v>252</v>
      </c>
      <c r="D97" s="1" t="s">
        <v>253</v>
      </c>
      <c r="E97" s="1">
        <v>3112873561</v>
      </c>
      <c r="F97" s="2">
        <v>4130397</v>
      </c>
      <c r="G97" s="3" t="str">
        <f>VLOOKUP(Tabla26[[#This Row],[CC CONDUCTOR]],[1]!Tabla3[#Data],2,FALSE)</f>
        <v xml:space="preserve">MARIO VERGARA </v>
      </c>
      <c r="H97" s="1" t="s">
        <v>254</v>
      </c>
      <c r="I97" s="1">
        <v>3212045325</v>
      </c>
      <c r="J97" s="5">
        <v>46152</v>
      </c>
      <c r="K97" s="5">
        <v>46179</v>
      </c>
      <c r="L97" s="5">
        <v>46089</v>
      </c>
      <c r="M97" s="2">
        <v>10000</v>
      </c>
      <c r="N97" s="2"/>
      <c r="O97" s="1"/>
      <c r="P97" s="7"/>
      <c r="Q97" s="9"/>
      <c r="R97" s="9"/>
      <c r="S97" s="9"/>
    </row>
    <row r="98" spans="1:19" x14ac:dyDescent="0.25">
      <c r="A98" s="1" t="s">
        <v>255</v>
      </c>
      <c r="B98" s="2">
        <v>46380256</v>
      </c>
      <c r="C98" s="3" t="s">
        <v>256</v>
      </c>
      <c r="D98" s="1"/>
      <c r="E98" s="1"/>
      <c r="F98" s="2">
        <v>1048848502</v>
      </c>
      <c r="G98" s="3" t="str">
        <f>VLOOKUP(Tabla26[[#This Row],[CC CONDUCTOR]],[1]!Tabla3[#Data],2,FALSE)</f>
        <v>MAURO ALFONSO BULLA</v>
      </c>
      <c r="H98" s="1"/>
      <c r="I98" s="1"/>
      <c r="J98" s="5">
        <v>46256</v>
      </c>
      <c r="K98" s="5">
        <v>46028</v>
      </c>
      <c r="L98" s="5">
        <v>46280</v>
      </c>
      <c r="M98" s="19">
        <v>10000</v>
      </c>
      <c r="N98" s="2"/>
      <c r="O98" s="1"/>
      <c r="P98" s="7"/>
      <c r="Q98" s="9"/>
      <c r="R98" s="9"/>
      <c r="S98" s="9"/>
    </row>
    <row r="99" spans="1:19" s="12" customFormat="1" x14ac:dyDescent="0.25">
      <c r="A99" s="1" t="s">
        <v>257</v>
      </c>
      <c r="B99" s="2">
        <v>2965714</v>
      </c>
      <c r="C99" s="3" t="s">
        <v>182</v>
      </c>
      <c r="D99" s="1"/>
      <c r="E99" s="1"/>
      <c r="F99" s="2">
        <v>1071549602</v>
      </c>
      <c r="G99" s="3" t="str">
        <f>VLOOKUP(Tabla26[[#This Row],[CC CONDUCTOR]],[1]!Tabla3[#Data],2,FALSE)</f>
        <v>JAIME SAIR ROJAS GONZALEZ</v>
      </c>
      <c r="H99" s="1"/>
      <c r="I99" s="1"/>
      <c r="J99" s="5">
        <v>46207</v>
      </c>
      <c r="K99" s="5">
        <v>46843</v>
      </c>
      <c r="L99" s="5">
        <v>46209</v>
      </c>
      <c r="M99" s="2">
        <v>10000</v>
      </c>
      <c r="N99" s="2"/>
      <c r="O99" s="1"/>
      <c r="P99" s="7"/>
      <c r="Q99" s="10"/>
      <c r="R99" s="10"/>
      <c r="S99" s="10"/>
    </row>
    <row r="100" spans="1:19" x14ac:dyDescent="0.25">
      <c r="A100" s="1" t="s">
        <v>258</v>
      </c>
      <c r="B100" s="2">
        <v>9007215389</v>
      </c>
      <c r="C100" s="3" t="s">
        <v>259</v>
      </c>
      <c r="D100" s="1" t="s">
        <v>260</v>
      </c>
      <c r="E100" s="1">
        <v>3102219545</v>
      </c>
      <c r="F100" s="2">
        <v>2963776</v>
      </c>
      <c r="G100" s="3" t="str">
        <f>VLOOKUP(Tabla26[[#This Row],[CC CONDUCTOR]],[1]!Tabla3[#Data],2,FALSE)</f>
        <v>ERNESTO QUEVEDO LOPEZ</v>
      </c>
      <c r="H100" s="1" t="s">
        <v>261</v>
      </c>
      <c r="I100" s="1">
        <v>3234399588</v>
      </c>
      <c r="J100" s="5">
        <v>46169</v>
      </c>
      <c r="K100" s="13">
        <v>46018</v>
      </c>
      <c r="L100" s="5">
        <v>46306</v>
      </c>
      <c r="M100" s="2">
        <v>10000</v>
      </c>
      <c r="N100" s="2"/>
      <c r="O100" s="1"/>
      <c r="P100" s="7"/>
      <c r="Q100" s="9"/>
      <c r="R100" s="9"/>
      <c r="S100" s="9"/>
    </row>
    <row r="101" spans="1:19" s="12" customFormat="1" x14ac:dyDescent="0.25">
      <c r="A101" s="1" t="s">
        <v>262</v>
      </c>
      <c r="B101" s="2">
        <v>79063368</v>
      </c>
      <c r="C101" s="3" t="s">
        <v>168</v>
      </c>
      <c r="D101" s="1" t="s">
        <v>169</v>
      </c>
      <c r="E101" s="1">
        <v>3134038089</v>
      </c>
      <c r="F101" s="2">
        <v>1072431227</v>
      </c>
      <c r="G101" s="3" t="str">
        <f>VLOOKUP(Tabla26[[#This Row],[CC CONDUCTOR]],[1]!Tabla3[#Data],2,FALSE)</f>
        <v>PETER ALEXANDER CORTES MEDINA</v>
      </c>
      <c r="H101" s="1"/>
      <c r="I101" s="1"/>
      <c r="J101" s="5">
        <v>46061</v>
      </c>
      <c r="K101" s="13">
        <v>46542</v>
      </c>
      <c r="L101" s="5">
        <v>46062</v>
      </c>
      <c r="M101" s="2">
        <v>10000</v>
      </c>
      <c r="N101" s="2"/>
      <c r="O101" s="1"/>
      <c r="P101" s="7"/>
      <c r="Q101" s="10"/>
      <c r="R101" s="10"/>
      <c r="S101" s="10"/>
    </row>
    <row r="102" spans="1:19" s="12" customFormat="1" x14ac:dyDescent="0.25">
      <c r="A102" s="1" t="s">
        <v>263</v>
      </c>
      <c r="B102" s="2">
        <v>1002290875</v>
      </c>
      <c r="C102" s="3" t="s">
        <v>264</v>
      </c>
      <c r="D102" s="1"/>
      <c r="E102" s="1"/>
      <c r="F102" s="2">
        <v>1048847624</v>
      </c>
      <c r="G102" s="3" t="str">
        <f>VLOOKUP(Tabla26[[#This Row],[CC CONDUCTOR]],[1]!Tabla3[#Data],2,FALSE)</f>
        <v>JOSE ANGEL DUEÑAS BERNAL</v>
      </c>
      <c r="H102" s="1"/>
      <c r="I102" s="5"/>
      <c r="J102" s="5">
        <v>46287</v>
      </c>
      <c r="K102" s="5">
        <v>46803</v>
      </c>
      <c r="L102" s="5">
        <v>46318</v>
      </c>
      <c r="M102" s="2">
        <v>10000</v>
      </c>
      <c r="N102" s="2"/>
      <c r="O102" s="1"/>
      <c r="P102" s="7"/>
      <c r="Q102" s="10"/>
      <c r="R102" s="10"/>
      <c r="S102" s="10"/>
    </row>
    <row r="103" spans="1:19" s="12" customFormat="1" x14ac:dyDescent="0.25">
      <c r="A103" s="14" t="s">
        <v>265</v>
      </c>
      <c r="B103" s="15">
        <v>1069738980</v>
      </c>
      <c r="C103" s="16" t="s">
        <v>266</v>
      </c>
      <c r="D103" s="14"/>
      <c r="E103" s="14"/>
      <c r="F103" s="15">
        <v>1069738980</v>
      </c>
      <c r="G103" s="16" t="s">
        <v>266</v>
      </c>
      <c r="H103" s="14"/>
      <c r="I103" s="14"/>
      <c r="J103" s="17">
        <v>45979</v>
      </c>
      <c r="K103" s="17">
        <v>46245</v>
      </c>
      <c r="L103" s="17">
        <v>45954</v>
      </c>
      <c r="M103" s="15">
        <v>10000</v>
      </c>
      <c r="N103" s="15"/>
      <c r="O103" s="14"/>
      <c r="P103" s="18"/>
      <c r="Q103" s="10"/>
      <c r="R103" s="10"/>
      <c r="S103" s="10"/>
    </row>
    <row r="104" spans="1:19" s="12" customFormat="1" x14ac:dyDescent="0.25">
      <c r="A104" s="14" t="s">
        <v>267</v>
      </c>
      <c r="B104" s="15">
        <v>2965628</v>
      </c>
      <c r="C104" s="16" t="s">
        <v>268</v>
      </c>
      <c r="D104" s="14"/>
      <c r="E104" s="14"/>
      <c r="F104" s="15">
        <v>2965628</v>
      </c>
      <c r="G104" s="16" t="str">
        <f>VLOOKUP(Tabla26[[#This Row],[CC CONDUCTOR]],[1]!Tabla3[#Data],2,FALSE)</f>
        <v>BENEDICTO ORTIZ ORTIZ</v>
      </c>
      <c r="H104" s="14"/>
      <c r="I104" s="14"/>
      <c r="J104" s="17">
        <v>46077</v>
      </c>
      <c r="K104" s="25">
        <v>46333</v>
      </c>
      <c r="L104" s="17" t="s">
        <v>269</v>
      </c>
      <c r="M104" s="15">
        <v>10000</v>
      </c>
      <c r="N104" s="15"/>
      <c r="O104" s="14"/>
      <c r="P104" s="18"/>
      <c r="Q104" s="10"/>
      <c r="R104" s="10"/>
      <c r="S104" s="10"/>
    </row>
    <row r="105" spans="1:19" x14ac:dyDescent="0.25">
      <c r="A105" s="1" t="s">
        <v>270</v>
      </c>
      <c r="B105" s="2">
        <v>80239542</v>
      </c>
      <c r="C105" s="3" t="s">
        <v>271</v>
      </c>
      <c r="D105" s="1"/>
      <c r="E105" s="1"/>
      <c r="F105" s="2">
        <v>1056688163</v>
      </c>
      <c r="G105" s="3" t="str">
        <f>VLOOKUP(Tabla26[[#This Row],[CC CONDUCTOR]],[1]!Tabla3[#Data],2,FALSE)</f>
        <v>ANDRES JULIAN GORDO CELIS</v>
      </c>
      <c r="H105" s="1"/>
      <c r="I105" s="1"/>
      <c r="J105" s="5">
        <v>46264</v>
      </c>
      <c r="K105" s="5"/>
      <c r="L105" s="5">
        <v>46266</v>
      </c>
      <c r="M105" s="2">
        <v>10000</v>
      </c>
      <c r="N105" s="2"/>
      <c r="O105" s="1"/>
      <c r="P105" s="7"/>
      <c r="Q105" s="9"/>
      <c r="R105" s="9"/>
      <c r="S105" s="9"/>
    </row>
    <row r="106" spans="1:19" x14ac:dyDescent="0.25">
      <c r="A106" s="1" t="s">
        <v>272</v>
      </c>
      <c r="B106" s="2">
        <v>74335546</v>
      </c>
      <c r="C106" s="3" t="s">
        <v>273</v>
      </c>
      <c r="D106" s="1" t="s">
        <v>274</v>
      </c>
      <c r="E106" s="1">
        <v>3134836745</v>
      </c>
      <c r="F106" s="2">
        <v>74335546</v>
      </c>
      <c r="G106" s="3" t="str">
        <f>VLOOKUP(Tabla26[[#This Row],[CC CONDUCTOR]],[1]!Tabla3[#Data],2,FALSE)</f>
        <v>HENRY YOBANI ESGUERRA CACERES</v>
      </c>
      <c r="H106" s="1" t="s">
        <v>274</v>
      </c>
      <c r="I106" s="1">
        <v>3134836745</v>
      </c>
      <c r="J106" s="5">
        <v>46296</v>
      </c>
      <c r="K106" s="5">
        <v>46402</v>
      </c>
      <c r="L106" s="5">
        <v>46298</v>
      </c>
      <c r="M106" s="2">
        <v>10000</v>
      </c>
      <c r="N106" s="2"/>
      <c r="O106" s="1"/>
      <c r="P106" s="7"/>
      <c r="Q106" s="9"/>
      <c r="R106" s="9"/>
      <c r="S106" s="9"/>
    </row>
    <row r="107" spans="1:19" x14ac:dyDescent="0.25">
      <c r="A107" s="14" t="s">
        <v>275</v>
      </c>
      <c r="B107" s="15">
        <v>3014394</v>
      </c>
      <c r="C107" s="16" t="s">
        <v>276</v>
      </c>
      <c r="D107" s="14"/>
      <c r="E107" s="14"/>
      <c r="F107" s="15">
        <v>2948129</v>
      </c>
      <c r="G107" s="16" t="str">
        <f>VLOOKUP(Tabla26[[#This Row],[CC CONDUCTOR]],[1]!Tabla3[#Data],2,FALSE)</f>
        <v>MAURICIO GAMBA FIERRO</v>
      </c>
      <c r="H107" s="14"/>
      <c r="I107" s="14"/>
      <c r="J107" s="17"/>
      <c r="K107" s="5">
        <v>45290</v>
      </c>
      <c r="L107" s="17"/>
      <c r="M107" s="2">
        <v>10000</v>
      </c>
      <c r="N107" s="15"/>
      <c r="O107" s="14"/>
      <c r="P107" s="18"/>
      <c r="Q107" s="9"/>
      <c r="R107" s="9"/>
      <c r="S107" s="9"/>
    </row>
    <row r="108" spans="1:19" x14ac:dyDescent="0.25">
      <c r="A108" s="14" t="s">
        <v>277</v>
      </c>
      <c r="B108" s="15">
        <v>4062056</v>
      </c>
      <c r="C108" s="16" t="s">
        <v>276</v>
      </c>
      <c r="D108" s="14"/>
      <c r="E108" s="14"/>
      <c r="F108" s="15">
        <v>4062056</v>
      </c>
      <c r="G108" s="16" t="str">
        <f>VLOOKUP(Tabla26[[#This Row],[CC CONDUCTOR]],[1]!Tabla3[#Data],2,FALSE)</f>
        <v>JOSE MAURICIO RATIVA ROMERO</v>
      </c>
      <c r="H108" s="16"/>
      <c r="I108" s="14"/>
      <c r="J108" s="17"/>
      <c r="K108" s="17">
        <f>VLOOKUP(Tabla26[[#This Row],[CC CONDUCTOR]],[1]!Tabla3[#All],3,FALSE)</f>
        <v>46108</v>
      </c>
      <c r="L108" s="17"/>
      <c r="M108" s="15">
        <v>10000</v>
      </c>
      <c r="N108" s="15"/>
      <c r="O108" s="14"/>
      <c r="P108" s="18"/>
      <c r="Q108" s="9"/>
      <c r="R108" s="9"/>
      <c r="S108" s="9"/>
    </row>
    <row r="109" spans="1:19" x14ac:dyDescent="0.25">
      <c r="A109" s="14" t="s">
        <v>278</v>
      </c>
      <c r="B109" s="15">
        <v>28727173</v>
      </c>
      <c r="C109" s="16" t="s">
        <v>279</v>
      </c>
      <c r="D109" s="14"/>
      <c r="E109" s="14"/>
      <c r="F109" s="15">
        <v>79879089</v>
      </c>
      <c r="G109" s="16" t="e">
        <f>VLOOKUP(Tabla26[[#This Row],[CC CONDUCTOR]],[1]!Tabla3[#Data],2,FALSE)</f>
        <v>#N/A</v>
      </c>
      <c r="H109" s="14"/>
      <c r="I109" s="14"/>
      <c r="J109" s="17">
        <v>45478</v>
      </c>
      <c r="K109" s="5">
        <v>45451</v>
      </c>
      <c r="L109" s="17">
        <v>45405</v>
      </c>
      <c r="M109" s="2">
        <v>10000</v>
      </c>
      <c r="N109" s="15"/>
      <c r="O109" s="14"/>
      <c r="P109" s="18"/>
      <c r="Q109" s="9"/>
      <c r="R109" s="9"/>
      <c r="S109" s="9"/>
    </row>
    <row r="110" spans="1:19" x14ac:dyDescent="0.25">
      <c r="A110" s="14" t="s">
        <v>280</v>
      </c>
      <c r="B110" s="15">
        <v>1071550525</v>
      </c>
      <c r="C110" s="16" t="s">
        <v>281</v>
      </c>
      <c r="D110" s="14" t="s">
        <v>282</v>
      </c>
      <c r="E110" s="14">
        <v>31641124397</v>
      </c>
      <c r="F110" s="15">
        <v>1071550080</v>
      </c>
      <c r="G110" s="16" t="str">
        <f>VLOOKUP(Tabla26[[#This Row],[CC CONDUCTOR]],[1]!Tabla3[#Data],2,FALSE)</f>
        <v>LEONEL FERNANDO MEDINA RODRIGUEZ</v>
      </c>
      <c r="H110" s="14"/>
      <c r="I110" s="14"/>
      <c r="J110" s="17">
        <v>45897</v>
      </c>
      <c r="K110" s="17">
        <v>46248</v>
      </c>
      <c r="L110" s="17">
        <v>45828</v>
      </c>
      <c r="M110" s="15">
        <v>10000</v>
      </c>
      <c r="N110" s="15"/>
      <c r="O110" s="14"/>
      <c r="P110" s="18"/>
      <c r="Q110" s="9"/>
      <c r="R110" s="9"/>
      <c r="S110" s="9"/>
    </row>
    <row r="111" spans="1:19" x14ac:dyDescent="0.25">
      <c r="A111" s="14" t="s">
        <v>283</v>
      </c>
      <c r="B111" s="15">
        <v>80466259</v>
      </c>
      <c r="C111" s="16" t="s">
        <v>284</v>
      </c>
      <c r="D111" s="14"/>
      <c r="E111" s="14"/>
      <c r="F111" s="15">
        <v>1072428576</v>
      </c>
      <c r="G111" s="16" t="str">
        <f>VLOOKUP(Tabla26[[#This Row],[CC CONDUCTOR]],[1]!Tabla3[#Data],2,FALSE)</f>
        <v>JAIME ARNULFO BELTRAN CADENA</v>
      </c>
      <c r="H111" s="14"/>
      <c r="I111" s="14"/>
      <c r="J111" s="17">
        <v>45856</v>
      </c>
      <c r="K111" s="17">
        <v>46049</v>
      </c>
      <c r="L111" s="17">
        <v>45853</v>
      </c>
      <c r="M111" s="15">
        <v>10000</v>
      </c>
      <c r="N111" s="15"/>
      <c r="O111" s="14"/>
      <c r="P111" s="18"/>
      <c r="Q111" s="9"/>
      <c r="R111" s="9"/>
      <c r="S111" s="9"/>
    </row>
    <row r="112" spans="1:19" s="12" customFormat="1" x14ac:dyDescent="0.25">
      <c r="A112" s="14" t="s">
        <v>285</v>
      </c>
      <c r="B112" s="15">
        <v>1019098083</v>
      </c>
      <c r="C112" s="16" t="s">
        <v>276</v>
      </c>
      <c r="D112" s="14" t="s">
        <v>286</v>
      </c>
      <c r="E112" s="14">
        <v>3124213572</v>
      </c>
      <c r="F112" s="15">
        <v>7334164</v>
      </c>
      <c r="G112" s="16" t="str">
        <f>VLOOKUP(Tabla26[[#This Row],[CC CONDUCTOR]],[1]!Tabla3[#Data],2,FALSE)</f>
        <v>CALOS OCTAVIO MARTINEZ ROMERO</v>
      </c>
      <c r="H112" s="16" t="s">
        <v>287</v>
      </c>
      <c r="I112" s="14">
        <v>3124213572</v>
      </c>
      <c r="J112" s="17">
        <v>46089</v>
      </c>
      <c r="K112" s="17">
        <v>46064</v>
      </c>
      <c r="L112" s="17">
        <v>46096</v>
      </c>
      <c r="M112" s="15">
        <v>10000</v>
      </c>
      <c r="N112" s="15"/>
      <c r="O112" s="14"/>
      <c r="P112" s="18"/>
      <c r="Q112" s="10"/>
      <c r="R112" s="10"/>
      <c r="S112" s="10"/>
    </row>
    <row r="113" spans="1:19" s="12" customFormat="1" x14ac:dyDescent="0.25">
      <c r="A113" s="14" t="s">
        <v>288</v>
      </c>
      <c r="B113" s="15">
        <v>79745043</v>
      </c>
      <c r="C113" s="16" t="s">
        <v>144</v>
      </c>
      <c r="D113" s="14" t="s">
        <v>145</v>
      </c>
      <c r="E113" s="14">
        <v>3112634045</v>
      </c>
      <c r="F113" s="2">
        <v>7317694</v>
      </c>
      <c r="G113" s="16" t="str">
        <f>VLOOKUP(Tabla26[[#This Row],[CC CONDUCTOR]],[1]!Tabla3[#Data],2,FALSE)</f>
        <v>ORLANDO SANCHEZ RODRIGUEZ</v>
      </c>
      <c r="H113" s="14"/>
      <c r="I113" s="14"/>
      <c r="J113" s="17">
        <v>46035</v>
      </c>
      <c r="K113" s="17">
        <v>46838</v>
      </c>
      <c r="L113" s="17">
        <v>46034</v>
      </c>
      <c r="M113" s="15">
        <v>10000</v>
      </c>
      <c r="N113" s="15"/>
      <c r="O113" s="14"/>
      <c r="P113" s="18"/>
      <c r="Q113" s="10"/>
      <c r="R113" s="10"/>
      <c r="S113" s="10"/>
    </row>
    <row r="114" spans="1:19" s="12" customFormat="1" x14ac:dyDescent="0.25">
      <c r="A114" s="14" t="s">
        <v>289</v>
      </c>
      <c r="B114" s="15">
        <v>2965628</v>
      </c>
      <c r="C114" s="16" t="s">
        <v>290</v>
      </c>
      <c r="D114" s="14"/>
      <c r="E114" s="14"/>
      <c r="F114" s="15">
        <v>2948514</v>
      </c>
      <c r="G114" s="16" t="str">
        <f>VLOOKUP(Tabla26[[#This Row],[CC CONDUCTOR]],[1]!Tabla3[#Data],2,FALSE)</f>
        <v>JONATAN CASTILLO FLOREZ</v>
      </c>
      <c r="H114" s="14"/>
      <c r="I114" s="14"/>
      <c r="J114" s="17">
        <v>45515</v>
      </c>
      <c r="K114" s="5">
        <v>45233</v>
      </c>
      <c r="L114" s="17">
        <v>45473</v>
      </c>
      <c r="M114" s="2">
        <v>10000</v>
      </c>
      <c r="N114" s="15"/>
      <c r="O114" s="14"/>
      <c r="P114" s="18"/>
      <c r="Q114" s="10"/>
      <c r="R114" s="10"/>
      <c r="S114" s="10"/>
    </row>
    <row r="115" spans="1:19" s="12" customFormat="1" x14ac:dyDescent="0.25">
      <c r="A115" s="14" t="s">
        <v>291</v>
      </c>
      <c r="B115" s="15">
        <v>2965871</v>
      </c>
      <c r="C115" s="16" t="s">
        <v>292</v>
      </c>
      <c r="D115" s="14" t="s">
        <v>293</v>
      </c>
      <c r="E115" s="14">
        <v>3112831448</v>
      </c>
      <c r="F115" s="15">
        <v>2965871</v>
      </c>
      <c r="G115" s="16" t="s">
        <v>292</v>
      </c>
      <c r="H115" s="14" t="s">
        <v>293</v>
      </c>
      <c r="I115" s="14">
        <v>3112831448</v>
      </c>
      <c r="J115" s="17">
        <v>45415</v>
      </c>
      <c r="K115" s="5">
        <v>45564</v>
      </c>
      <c r="L115" s="17">
        <v>45474</v>
      </c>
      <c r="M115" s="2">
        <v>10000</v>
      </c>
      <c r="N115" s="15"/>
      <c r="O115" s="14"/>
      <c r="P115" s="18"/>
      <c r="Q115" s="10"/>
      <c r="R115" s="10"/>
      <c r="S115" s="10"/>
    </row>
    <row r="116" spans="1:19" x14ac:dyDescent="0.25">
      <c r="A116" s="14" t="s">
        <v>294</v>
      </c>
      <c r="B116" s="15">
        <v>7333938</v>
      </c>
      <c r="C116" s="16" t="s">
        <v>295</v>
      </c>
      <c r="D116" s="14"/>
      <c r="E116" s="14"/>
      <c r="F116" s="15">
        <v>1056688188</v>
      </c>
      <c r="G116" s="16" t="str">
        <f>VLOOKUP(Tabla26[[#This Row],[CC CONDUCTOR]],[1]!Tabla3[#Data],2,FALSE)</f>
        <v>NELSON JAVIER ESGUERRA CHAVARRO</v>
      </c>
      <c r="H116" s="14"/>
      <c r="I116" s="14"/>
      <c r="J116" s="17">
        <v>45420</v>
      </c>
      <c r="K116" s="5">
        <v>45727</v>
      </c>
      <c r="L116" s="17">
        <v>45405</v>
      </c>
      <c r="M116" s="2">
        <v>10000</v>
      </c>
      <c r="N116" s="15"/>
      <c r="O116" s="14"/>
      <c r="P116" s="18"/>
      <c r="Q116" s="9"/>
      <c r="R116" s="9"/>
      <c r="S116" s="9"/>
    </row>
    <row r="117" spans="1:19" s="27" customFormat="1" x14ac:dyDescent="0.25">
      <c r="A117" s="14" t="s">
        <v>296</v>
      </c>
      <c r="B117" s="15">
        <v>9003528381</v>
      </c>
      <c r="C117" s="16" t="s">
        <v>69</v>
      </c>
      <c r="D117" s="14" t="s">
        <v>81</v>
      </c>
      <c r="E117" s="14">
        <v>3124484887</v>
      </c>
      <c r="F117" s="15">
        <v>80800765</v>
      </c>
      <c r="G117" s="16" t="str">
        <f>VLOOKUP(Tabla26[[#This Row],[CC CONDUCTOR]],[1]!Tabla3[#Data],2,FALSE)</f>
        <v>RAFAEL ANTONIO RODRIGUEZ SANTOS</v>
      </c>
      <c r="H117" s="14"/>
      <c r="I117" s="14"/>
      <c r="J117" s="17">
        <v>45407</v>
      </c>
      <c r="K117" s="5">
        <v>45530</v>
      </c>
      <c r="L117" s="17">
        <v>45245</v>
      </c>
      <c r="M117" s="2">
        <v>10000</v>
      </c>
      <c r="N117" s="15"/>
      <c r="O117" s="14">
        <v>175890538</v>
      </c>
      <c r="P117" s="18"/>
      <c r="Q117" s="26"/>
      <c r="R117" s="26"/>
      <c r="S117" s="26"/>
    </row>
    <row r="118" spans="1:19" x14ac:dyDescent="0.25">
      <c r="A118" s="14" t="s">
        <v>297</v>
      </c>
      <c r="B118" s="15">
        <v>52982482</v>
      </c>
      <c r="C118" s="16" t="s">
        <v>276</v>
      </c>
      <c r="D118" s="14" t="s">
        <v>298</v>
      </c>
      <c r="E118" s="14">
        <v>3108032170</v>
      </c>
      <c r="F118" s="15">
        <v>1053724110</v>
      </c>
      <c r="G118" s="16" t="str">
        <f>VLOOKUP(Tabla26[[#This Row],[CC CONDUCTOR]],[1]!Tabla3[#Data],2,FALSE)</f>
        <v>LUIS CARDENAS</v>
      </c>
      <c r="H118" s="14" t="s">
        <v>298</v>
      </c>
      <c r="I118" s="14">
        <v>3228281262</v>
      </c>
      <c r="J118" s="17">
        <v>45507</v>
      </c>
      <c r="K118" s="5">
        <v>46203</v>
      </c>
      <c r="L118" s="17">
        <v>45502</v>
      </c>
      <c r="M118" s="2">
        <v>10000</v>
      </c>
      <c r="N118" s="15"/>
      <c r="O118" s="14"/>
      <c r="P118" s="18" t="s">
        <v>299</v>
      </c>
      <c r="Q118" s="9"/>
      <c r="R118" s="9"/>
      <c r="S118" s="9"/>
    </row>
    <row r="119" spans="1:19" s="27" customFormat="1" x14ac:dyDescent="0.25">
      <c r="A119" s="14" t="s">
        <v>300</v>
      </c>
      <c r="B119" s="15">
        <v>80791588</v>
      </c>
      <c r="C119" s="16" t="s">
        <v>301</v>
      </c>
      <c r="D119" s="14"/>
      <c r="E119" s="14"/>
      <c r="F119" s="15">
        <v>1074810862</v>
      </c>
      <c r="G119" s="16" t="str">
        <f>VLOOKUP(Tabla26[[#This Row],[CC CONDUCTOR]],[1]!Tabla3[#Data],2,FALSE)</f>
        <v>DIEGO ALEJANDRO RAMIREZ MARENTES</v>
      </c>
      <c r="H119" s="16"/>
      <c r="I119" s="14"/>
      <c r="J119" s="17">
        <v>45910</v>
      </c>
      <c r="K119" s="25">
        <v>46623</v>
      </c>
      <c r="L119" s="17">
        <v>45992</v>
      </c>
      <c r="M119" s="15">
        <v>10000</v>
      </c>
      <c r="N119" s="15"/>
      <c r="O119" s="14"/>
      <c r="P119" s="18"/>
      <c r="Q119" s="26"/>
      <c r="R119" s="26"/>
      <c r="S119" s="26"/>
    </row>
    <row r="120" spans="1:19" x14ac:dyDescent="0.25">
      <c r="A120" s="14" t="s">
        <v>302</v>
      </c>
      <c r="B120" s="15">
        <v>80311532</v>
      </c>
      <c r="C120" s="16" t="s">
        <v>303</v>
      </c>
      <c r="D120" s="14"/>
      <c r="E120" s="14"/>
      <c r="F120" s="15">
        <v>1072428576</v>
      </c>
      <c r="G120" s="16" t="str">
        <f>VLOOKUP(Tabla26[[#This Row],[CC CONDUCTOR]],[1]!Tabla3[#Data],2,FALSE)</f>
        <v>JAIME ARNULFO BELTRAN CADENA</v>
      </c>
      <c r="H120" s="14"/>
      <c r="I120" s="14"/>
      <c r="J120" s="17">
        <v>45704</v>
      </c>
      <c r="K120" s="5">
        <v>46049</v>
      </c>
      <c r="L120" s="17">
        <v>45408</v>
      </c>
      <c r="M120" s="2">
        <v>10000</v>
      </c>
      <c r="N120" s="15"/>
      <c r="O120" s="14"/>
      <c r="P120" s="18"/>
      <c r="Q120" s="9"/>
      <c r="R120" s="9"/>
      <c r="S120" s="9"/>
    </row>
    <row r="121" spans="1:19" s="12" customFormat="1" x14ac:dyDescent="0.25">
      <c r="A121" s="14" t="s">
        <v>304</v>
      </c>
      <c r="B121" s="15">
        <v>1057074265</v>
      </c>
      <c r="C121" s="16" t="s">
        <v>276</v>
      </c>
      <c r="D121" s="14" t="s">
        <v>305</v>
      </c>
      <c r="E121" s="14">
        <v>3144768146</v>
      </c>
      <c r="F121" s="15">
        <v>1057074265</v>
      </c>
      <c r="G121" s="16" t="e">
        <f>VLOOKUP(Tabla26[[#This Row],[CC CONDUCTOR]],[1]!Tabla3[#Data],2,FALSE)</f>
        <v>#N/A</v>
      </c>
      <c r="H121" s="14" t="s">
        <v>305</v>
      </c>
      <c r="I121" s="14">
        <v>3144768146</v>
      </c>
      <c r="J121" s="17" t="s">
        <v>306</v>
      </c>
      <c r="K121" s="5" t="s">
        <v>307</v>
      </c>
      <c r="L121" s="17"/>
      <c r="M121" s="2">
        <v>10000</v>
      </c>
      <c r="N121" s="15"/>
      <c r="O121" s="14">
        <v>175885826</v>
      </c>
      <c r="P121" s="18"/>
      <c r="Q121" s="10"/>
      <c r="R121" s="10"/>
      <c r="S121" s="10"/>
    </row>
    <row r="122" spans="1:19" x14ac:dyDescent="0.25">
      <c r="A122" s="14" t="s">
        <v>308</v>
      </c>
      <c r="B122" s="15">
        <v>1071548952</v>
      </c>
      <c r="C122" s="16" t="s">
        <v>309</v>
      </c>
      <c r="D122" s="14" t="s">
        <v>136</v>
      </c>
      <c r="E122" s="14">
        <v>3106668604</v>
      </c>
      <c r="F122" s="15">
        <v>1071548952</v>
      </c>
      <c r="G122" s="16" t="str">
        <f>VLOOKUP(Tabla26[[#This Row],[CC CONDUCTOR]],[1]!Tabla3[#Data],2,FALSE)</f>
        <v>JAIME ANDRES MORA BAQUERO</v>
      </c>
      <c r="H122" s="14" t="s">
        <v>136</v>
      </c>
      <c r="I122" s="14">
        <v>3106668604</v>
      </c>
      <c r="J122" s="17">
        <v>45540</v>
      </c>
      <c r="K122" s="5">
        <v>45692</v>
      </c>
      <c r="L122" s="17">
        <v>45540</v>
      </c>
      <c r="M122" s="2">
        <v>10000</v>
      </c>
      <c r="N122" s="15"/>
      <c r="O122" s="14"/>
      <c r="P122" s="18" t="s">
        <v>310</v>
      </c>
      <c r="Q122" s="9"/>
      <c r="R122" s="9"/>
      <c r="S122" s="9"/>
    </row>
    <row r="123" spans="1:19" s="12" customFormat="1" x14ac:dyDescent="0.25">
      <c r="A123" s="14" t="s">
        <v>311</v>
      </c>
      <c r="B123" s="15">
        <v>1056688727</v>
      </c>
      <c r="C123" s="16" t="s">
        <v>312</v>
      </c>
      <c r="D123" s="14"/>
      <c r="E123" s="14"/>
      <c r="F123" s="15">
        <v>1056688727</v>
      </c>
      <c r="G123" s="16" t="e">
        <f>VLOOKUP(Tabla26[[#This Row],[CC CONDUCTOR]],[1]!Tabla3[#Data],2,FALSE)</f>
        <v>#N/A</v>
      </c>
      <c r="H123" s="14"/>
      <c r="I123" s="14"/>
      <c r="J123" s="17">
        <v>45331</v>
      </c>
      <c r="K123" s="5">
        <v>45422</v>
      </c>
      <c r="L123" s="17">
        <v>45332</v>
      </c>
      <c r="M123" s="2">
        <v>10000</v>
      </c>
      <c r="N123" s="15"/>
      <c r="O123" s="14"/>
      <c r="P123" s="18"/>
      <c r="Q123" s="10"/>
      <c r="R123" s="10"/>
      <c r="S123" s="10"/>
    </row>
    <row r="124" spans="1:19" x14ac:dyDescent="0.25">
      <c r="A124" s="14" t="s">
        <v>313</v>
      </c>
      <c r="B124" s="15">
        <v>9015290801</v>
      </c>
      <c r="C124" s="16" t="s">
        <v>314</v>
      </c>
      <c r="D124" s="14" t="s">
        <v>315</v>
      </c>
      <c r="E124" s="14"/>
      <c r="F124" s="15">
        <v>79833701</v>
      </c>
      <c r="G124" s="16" t="e">
        <f>VLOOKUP(Tabla26[[#This Row],[CC CONDUCTOR]],[1]!Tabla3[#Data],2,FALSE)</f>
        <v>#N/A</v>
      </c>
      <c r="H124" s="14"/>
      <c r="I124" s="14"/>
      <c r="J124" s="17">
        <v>45337</v>
      </c>
      <c r="K124" s="5">
        <v>45650</v>
      </c>
      <c r="L124" s="17"/>
      <c r="M124" s="2">
        <v>10000</v>
      </c>
      <c r="N124" s="15"/>
      <c r="O124" s="14"/>
      <c r="P124" s="18"/>
      <c r="Q124" s="9"/>
      <c r="R124" s="9"/>
      <c r="S124" s="9"/>
    </row>
    <row r="125" spans="1:19" x14ac:dyDescent="0.25">
      <c r="A125" s="14" t="s">
        <v>316</v>
      </c>
      <c r="B125" s="15">
        <v>53161311</v>
      </c>
      <c r="C125" s="16" t="s">
        <v>317</v>
      </c>
      <c r="D125" s="14"/>
      <c r="E125" s="14"/>
      <c r="F125" s="15">
        <v>1069746938</v>
      </c>
      <c r="G125" s="16" t="str">
        <f>VLOOKUP(Tabla26[[#This Row],[CC CONDUCTOR]],[1]!Tabla3[#Data],2,FALSE)</f>
        <v>ANDERSON FABIAN CASTELLANOS</v>
      </c>
      <c r="H125" s="16" t="s">
        <v>318</v>
      </c>
      <c r="I125" s="14">
        <v>3209307839</v>
      </c>
      <c r="J125" s="17">
        <v>46156</v>
      </c>
      <c r="K125" s="17">
        <v>46025</v>
      </c>
      <c r="L125" s="17">
        <v>45995</v>
      </c>
      <c r="M125" s="15">
        <v>10000</v>
      </c>
      <c r="N125" s="15"/>
      <c r="O125" s="14"/>
      <c r="P125" s="18"/>
      <c r="Q125" s="9"/>
      <c r="R125" s="9"/>
      <c r="S125" s="9"/>
    </row>
    <row r="126" spans="1:19" x14ac:dyDescent="0.25">
      <c r="A126" s="14" t="s">
        <v>319</v>
      </c>
      <c r="B126" s="15">
        <v>1056688840</v>
      </c>
      <c r="C126" s="16" t="s">
        <v>165</v>
      </c>
      <c r="D126" s="14" t="s">
        <v>320</v>
      </c>
      <c r="E126" s="14"/>
      <c r="F126" s="15">
        <v>1056688163</v>
      </c>
      <c r="G126" s="16" t="str">
        <f>VLOOKUP(Tabla26[[#This Row],[CC CONDUCTOR]],[1]!Tabla3[#Data],2,FALSE)</f>
        <v>ANDRES JULIAN GORDO CELIS</v>
      </c>
      <c r="H126" s="16"/>
      <c r="I126" s="14"/>
      <c r="J126" s="17">
        <v>45952</v>
      </c>
      <c r="K126" s="17">
        <v>46060</v>
      </c>
      <c r="L126" s="17">
        <v>46008</v>
      </c>
      <c r="M126" s="15">
        <v>10000</v>
      </c>
      <c r="N126" s="15"/>
      <c r="O126" s="14"/>
      <c r="P126" s="18"/>
      <c r="Q126" s="9"/>
      <c r="R126" s="9"/>
      <c r="S126" s="9"/>
    </row>
    <row r="127" spans="1:19" x14ac:dyDescent="0.25">
      <c r="A127" s="14" t="s">
        <v>321</v>
      </c>
      <c r="B127" s="15">
        <v>1048848640</v>
      </c>
      <c r="C127" s="16" t="s">
        <v>322</v>
      </c>
      <c r="D127" s="14" t="s">
        <v>323</v>
      </c>
      <c r="E127" s="14">
        <v>3214578852</v>
      </c>
      <c r="F127" s="15">
        <v>7334269</v>
      </c>
      <c r="G127" s="16" t="str">
        <f>VLOOKUP(Tabla26[[#This Row],[CC CONDUCTOR]],[1]!Tabla3[#Data],2,FALSE)</f>
        <v>OMAR ALBERTO ACEVEDO FERNANDEZ</v>
      </c>
      <c r="H127" s="16" t="s">
        <v>324</v>
      </c>
      <c r="I127" s="14">
        <v>3214578852</v>
      </c>
      <c r="J127" s="17">
        <v>46198</v>
      </c>
      <c r="K127" s="17">
        <v>46070</v>
      </c>
      <c r="L127" s="17">
        <v>46256</v>
      </c>
      <c r="M127" s="15">
        <v>16000</v>
      </c>
      <c r="N127" s="15"/>
      <c r="O127" s="14"/>
      <c r="P127" s="18"/>
      <c r="Q127" s="9"/>
      <c r="R127" s="9"/>
      <c r="S127" s="9"/>
    </row>
    <row r="128" spans="1:19" x14ac:dyDescent="0.25">
      <c r="A128" s="14" t="s">
        <v>325</v>
      </c>
      <c r="B128" s="15">
        <v>18416236</v>
      </c>
      <c r="C128" s="16" t="s">
        <v>131</v>
      </c>
      <c r="D128" s="14"/>
      <c r="E128" s="14"/>
      <c r="F128" s="15">
        <v>18416236</v>
      </c>
      <c r="G128" s="16" t="str">
        <f>VLOOKUP(Tabla26[[#This Row],[CC CONDUCTOR]],[1]!Tabla3[#Data],2,FALSE)</f>
        <v>JESUS ANIBAL ORDOÑEZ ROSERO</v>
      </c>
      <c r="H128" s="14"/>
      <c r="I128" s="14"/>
      <c r="J128" s="17">
        <v>45877</v>
      </c>
      <c r="K128" s="17">
        <v>45878</v>
      </c>
      <c r="L128" s="17">
        <v>45883</v>
      </c>
      <c r="M128" s="15">
        <v>10000</v>
      </c>
      <c r="N128" s="15"/>
      <c r="O128" s="14"/>
      <c r="P128" s="18"/>
      <c r="Q128" s="9"/>
      <c r="R128" s="9"/>
      <c r="S128" s="9"/>
    </row>
    <row r="129" spans="1:19" s="12" customFormat="1" x14ac:dyDescent="0.25">
      <c r="A129" s="14" t="s">
        <v>326</v>
      </c>
      <c r="B129" s="15">
        <v>80031518</v>
      </c>
      <c r="C129" s="16" t="s">
        <v>327</v>
      </c>
      <c r="D129" s="14" t="s">
        <v>328</v>
      </c>
      <c r="E129" s="14"/>
      <c r="F129" s="15">
        <v>1036250151</v>
      </c>
      <c r="G129" s="16" t="str">
        <f>VLOOKUP(Tabla26[[#This Row],[CC CONDUCTOR]],[1]!Tabla3[#Data],2,FALSE)</f>
        <v>JOSE DIEBER QUINTERO OSPINA</v>
      </c>
      <c r="H129" s="14" t="s">
        <v>328</v>
      </c>
      <c r="I129" s="14">
        <v>3164312682</v>
      </c>
      <c r="J129" s="17">
        <v>45372</v>
      </c>
      <c r="K129" s="5">
        <v>45874</v>
      </c>
      <c r="L129" s="17"/>
      <c r="M129" s="2">
        <v>10000</v>
      </c>
      <c r="N129" s="15"/>
      <c r="O129" s="14"/>
      <c r="P129" s="18"/>
      <c r="Q129" s="10"/>
      <c r="R129" s="10"/>
      <c r="S129" s="10"/>
    </row>
    <row r="130" spans="1:19" s="12" customFormat="1" x14ac:dyDescent="0.25">
      <c r="A130" s="14" t="s">
        <v>329</v>
      </c>
      <c r="B130" s="15">
        <v>8600343137</v>
      </c>
      <c r="C130" s="16" t="s">
        <v>330</v>
      </c>
      <c r="D130" s="14"/>
      <c r="E130" s="14"/>
      <c r="F130" s="15">
        <v>1030611714</v>
      </c>
      <c r="G130" s="16" t="str">
        <f>VLOOKUP(Tabla26[[#This Row],[CC CONDUCTOR]],[1]!Tabla3[#Data],2,FALSE)</f>
        <v>OSCAR ALVEIRO RAMIREZ HUERTAS</v>
      </c>
      <c r="H130" s="14" t="s">
        <v>331</v>
      </c>
      <c r="I130" s="14"/>
      <c r="J130" s="17">
        <v>45556</v>
      </c>
      <c r="K130" s="5">
        <v>45387</v>
      </c>
      <c r="L130" s="17">
        <v>45557</v>
      </c>
      <c r="M130" s="2">
        <v>10000</v>
      </c>
      <c r="N130" s="15"/>
      <c r="O130" s="14"/>
      <c r="P130" s="18"/>
      <c r="Q130" s="10"/>
      <c r="R130" s="10"/>
      <c r="S130" s="10"/>
    </row>
    <row r="131" spans="1:19" s="12" customFormat="1" x14ac:dyDescent="0.25">
      <c r="A131" s="14" t="s">
        <v>332</v>
      </c>
      <c r="B131" s="15">
        <v>429999</v>
      </c>
      <c r="C131" s="16" t="s">
        <v>333</v>
      </c>
      <c r="D131" s="14"/>
      <c r="E131" s="14"/>
      <c r="F131" s="15">
        <v>14232073</v>
      </c>
      <c r="G131" s="16" t="str">
        <f>VLOOKUP(Tabla26[[#This Row],[CC CONDUCTOR]],[1]!Tabla3[#Data],2,FALSE)</f>
        <v>JOSE ARNOBIS PENAGOS MORENO</v>
      </c>
      <c r="H131" s="14"/>
      <c r="I131" s="14"/>
      <c r="J131" s="17">
        <v>45366</v>
      </c>
      <c r="K131" s="5">
        <v>45421</v>
      </c>
      <c r="L131" s="17">
        <v>45368</v>
      </c>
      <c r="M131" s="2">
        <v>10000</v>
      </c>
      <c r="N131" s="15"/>
      <c r="O131" s="14"/>
      <c r="P131" s="18"/>
      <c r="Q131" s="10"/>
      <c r="R131" s="10"/>
      <c r="S131" s="10"/>
    </row>
    <row r="132" spans="1:19" s="12" customFormat="1" x14ac:dyDescent="0.25">
      <c r="A132" s="14" t="s">
        <v>334</v>
      </c>
      <c r="B132" s="15">
        <v>83218732</v>
      </c>
      <c r="C132" s="16" t="s">
        <v>335</v>
      </c>
      <c r="D132" s="14"/>
      <c r="E132" s="14"/>
      <c r="F132" s="15">
        <v>83218732</v>
      </c>
      <c r="G132" s="16" t="str">
        <f>VLOOKUP(Tabla26[[#This Row],[CC CONDUCTOR]],[1]!Tabla3[#Data],2,FALSE)</f>
        <v>LUIS ANTONIO ROJAS ORTIZ</v>
      </c>
      <c r="H132" s="14"/>
      <c r="I132" s="14"/>
      <c r="J132" s="17">
        <v>45422</v>
      </c>
      <c r="K132" s="5">
        <v>45277</v>
      </c>
      <c r="L132" s="17" t="s">
        <v>67</v>
      </c>
      <c r="M132" s="2">
        <v>10000</v>
      </c>
      <c r="N132" s="15"/>
      <c r="O132" s="14"/>
      <c r="P132" s="18"/>
      <c r="Q132" s="10"/>
      <c r="R132" s="10"/>
      <c r="S132" s="10"/>
    </row>
    <row r="133" spans="1:19" s="12" customFormat="1" x14ac:dyDescent="0.25">
      <c r="A133" s="14" t="s">
        <v>336</v>
      </c>
      <c r="B133" s="15">
        <v>9015290801</v>
      </c>
      <c r="C133" s="16" t="s">
        <v>337</v>
      </c>
      <c r="D133" s="14"/>
      <c r="E133" s="14"/>
      <c r="F133" s="15">
        <v>1000685840</v>
      </c>
      <c r="G133" s="16" t="str">
        <f>VLOOKUP(Tabla26[[#This Row],[CC CONDUCTOR]],[1]!Tabla3[#Data],2,FALSE)</f>
        <v>SANTIAGO CARDONA</v>
      </c>
      <c r="H133" s="14"/>
      <c r="I133" s="14"/>
      <c r="J133" s="17"/>
      <c r="K133" s="5"/>
      <c r="L133" s="17"/>
      <c r="M133" s="2">
        <v>10000</v>
      </c>
      <c r="N133" s="15"/>
      <c r="O133" s="14"/>
      <c r="P133" s="18"/>
      <c r="Q133" s="10"/>
      <c r="R133" s="10"/>
      <c r="S133" s="10"/>
    </row>
    <row r="134" spans="1:19" s="12" customFormat="1" x14ac:dyDescent="0.25">
      <c r="A134" s="14" t="s">
        <v>338</v>
      </c>
      <c r="B134" s="15">
        <v>8301015242</v>
      </c>
      <c r="C134" s="16" t="s">
        <v>339</v>
      </c>
      <c r="D134" s="14" t="s">
        <v>340</v>
      </c>
      <c r="E134" s="14"/>
      <c r="F134" s="15">
        <v>11383102</v>
      </c>
      <c r="G134" s="16" t="str">
        <f>VLOOKUP(Tabla26[[#This Row],[CC CONDUCTOR]],[1]!Tabla3[#Data],2,FALSE)</f>
        <v>JOSE ALVARO SABOGAL SOLANO</v>
      </c>
      <c r="H134" s="14"/>
      <c r="I134" s="14"/>
      <c r="J134" s="17">
        <v>45523</v>
      </c>
      <c r="K134" s="5">
        <v>45906</v>
      </c>
      <c r="L134" s="17" t="s">
        <v>67</v>
      </c>
      <c r="M134" s="2">
        <v>10000</v>
      </c>
      <c r="N134" s="15"/>
      <c r="O134" s="14"/>
      <c r="P134" s="18"/>
      <c r="Q134" s="10"/>
      <c r="R134" s="10"/>
      <c r="S134" s="10"/>
    </row>
    <row r="135" spans="1:19" s="12" customFormat="1" x14ac:dyDescent="0.25">
      <c r="A135" s="14" t="s">
        <v>341</v>
      </c>
      <c r="B135" s="15">
        <v>8301015242</v>
      </c>
      <c r="C135" s="16" t="s">
        <v>339</v>
      </c>
      <c r="D135" s="14" t="s">
        <v>340</v>
      </c>
      <c r="E135" s="14"/>
      <c r="F135" s="15"/>
      <c r="G135" s="16" t="e">
        <f>VLOOKUP(Tabla26[[#This Row],[CC CONDUCTOR]],[1]!Tabla3[#Data],2,FALSE)</f>
        <v>#N/A</v>
      </c>
      <c r="H135" s="14"/>
      <c r="I135" s="14"/>
      <c r="J135" s="17">
        <v>45523</v>
      </c>
      <c r="K135" s="5"/>
      <c r="L135" s="17" t="s">
        <v>67</v>
      </c>
      <c r="M135" s="2">
        <v>10000</v>
      </c>
      <c r="N135" s="15"/>
      <c r="O135" s="14"/>
      <c r="P135" s="18"/>
      <c r="Q135" s="10"/>
      <c r="R135" s="10"/>
      <c r="S135" s="10"/>
    </row>
    <row r="136" spans="1:19" s="12" customFormat="1" x14ac:dyDescent="0.25">
      <c r="A136" s="14" t="s">
        <v>342</v>
      </c>
      <c r="B136" s="15">
        <v>7170740</v>
      </c>
      <c r="C136" s="16" t="s">
        <v>343</v>
      </c>
      <c r="D136" s="14"/>
      <c r="E136" s="14"/>
      <c r="F136" s="15">
        <v>74335866</v>
      </c>
      <c r="G136" s="16" t="str">
        <f>VLOOKUP(Tabla26[[#This Row],[CC CONDUCTOR]],[1]!Tabla3[#Data],2,FALSE)</f>
        <v>SAMUEL ANTONIO MORENO PAEZ</v>
      </c>
      <c r="H136" s="14"/>
      <c r="I136" s="14"/>
      <c r="J136" s="17">
        <v>45556</v>
      </c>
      <c r="K136" s="5">
        <v>45316</v>
      </c>
      <c r="L136" s="17">
        <v>45260</v>
      </c>
      <c r="M136" s="2">
        <v>10000</v>
      </c>
      <c r="N136" s="15"/>
      <c r="O136" s="14"/>
      <c r="P136" s="18"/>
      <c r="Q136" s="10"/>
      <c r="R136" s="10"/>
      <c r="S136" s="10"/>
    </row>
    <row r="137" spans="1:19" s="12" customFormat="1" x14ac:dyDescent="0.25">
      <c r="A137" s="14" t="s">
        <v>344</v>
      </c>
      <c r="B137" s="15">
        <v>19329762</v>
      </c>
      <c r="C137" s="16" t="s">
        <v>345</v>
      </c>
      <c r="D137" s="14"/>
      <c r="E137" s="14"/>
      <c r="F137" s="15">
        <v>11389661</v>
      </c>
      <c r="G137" s="16" t="str">
        <f>VLOOKUP(Tabla26[[#This Row],[CC CONDUCTOR]],[1]!Tabla3[#Data],2,FALSE)</f>
        <v>JESUS VALDERRAMA DELGADILLO</v>
      </c>
      <c r="H137" s="14"/>
      <c r="I137" s="14"/>
      <c r="J137" s="17"/>
      <c r="K137" s="5"/>
      <c r="L137" s="17"/>
      <c r="M137" s="2">
        <v>10000</v>
      </c>
      <c r="N137" s="15"/>
      <c r="O137" s="14"/>
      <c r="P137" s="18"/>
      <c r="Q137" s="10"/>
      <c r="R137" s="10"/>
      <c r="S137" s="10"/>
    </row>
    <row r="138" spans="1:19" s="12" customFormat="1" x14ac:dyDescent="0.25">
      <c r="A138" s="14" t="s">
        <v>346</v>
      </c>
      <c r="B138" s="15">
        <v>74361274</v>
      </c>
      <c r="C138" s="16" t="s">
        <v>184</v>
      </c>
      <c r="D138" s="14"/>
      <c r="E138" s="14">
        <v>3208017269</v>
      </c>
      <c r="F138" s="15">
        <v>7335686</v>
      </c>
      <c r="G138" s="16" t="str">
        <f>VLOOKUP(Tabla26[[#This Row],[CC CONDUCTOR]],[1]!Tabla3[#Data],2,FALSE)</f>
        <v>JAVIER ALEXANDER ALFONSO TORRES</v>
      </c>
      <c r="H138" s="14"/>
      <c r="I138" s="14"/>
      <c r="J138" s="17">
        <v>45226</v>
      </c>
      <c r="K138" s="5">
        <v>45485</v>
      </c>
      <c r="L138" s="17">
        <v>45230</v>
      </c>
      <c r="M138" s="2">
        <v>10000</v>
      </c>
      <c r="N138" s="15"/>
      <c r="O138" s="14"/>
      <c r="P138" s="18"/>
      <c r="Q138" s="10"/>
      <c r="R138" s="10"/>
      <c r="S138" s="10"/>
    </row>
    <row r="139" spans="1:19" s="12" customFormat="1" x14ac:dyDescent="0.25">
      <c r="A139" s="14" t="s">
        <v>347</v>
      </c>
      <c r="B139" s="15">
        <v>1071143119</v>
      </c>
      <c r="C139" s="16" t="s">
        <v>348</v>
      </c>
      <c r="D139" s="14"/>
      <c r="E139" s="14"/>
      <c r="F139" s="15">
        <v>1071328751</v>
      </c>
      <c r="G139" s="16" t="str">
        <f>VLOOKUP(Tabla26[[#This Row],[CC CONDUCTOR]],[1]!Tabla3[#Data],2,FALSE)</f>
        <v>ANDRES MAURICIO MONTEALEGRE GONZALEZ</v>
      </c>
      <c r="H139" s="14"/>
      <c r="I139" s="14"/>
      <c r="J139" s="24">
        <v>46172</v>
      </c>
      <c r="K139" s="24">
        <v>46011</v>
      </c>
      <c r="L139" s="24">
        <v>46191</v>
      </c>
      <c r="M139" s="15">
        <v>10000</v>
      </c>
      <c r="N139" s="15"/>
      <c r="O139" s="14"/>
      <c r="P139" s="18"/>
      <c r="Q139" s="10"/>
      <c r="R139" s="10"/>
      <c r="S139" s="10"/>
    </row>
    <row r="140" spans="1:19" s="12" customFormat="1" x14ac:dyDescent="0.25">
      <c r="A140" s="14" t="s">
        <v>349</v>
      </c>
      <c r="B140" s="15">
        <v>1053724560</v>
      </c>
      <c r="C140" s="16" t="s">
        <v>350</v>
      </c>
      <c r="D140" s="14"/>
      <c r="E140" s="14"/>
      <c r="F140" s="15">
        <v>1053724560</v>
      </c>
      <c r="G140" s="16" t="str">
        <f>VLOOKUP(Tabla26[[#This Row],[CC CONDUCTOR]],[1]!Tabla3[#Data],2,FALSE)</f>
        <v>LOZANO AMAYA WILFREDO</v>
      </c>
      <c r="H140" s="14"/>
      <c r="I140" s="14"/>
      <c r="J140" s="17">
        <v>45477</v>
      </c>
      <c r="K140" s="5">
        <v>45369</v>
      </c>
      <c r="L140" s="17">
        <v>45354</v>
      </c>
      <c r="M140" s="2">
        <v>10000</v>
      </c>
      <c r="N140" s="15"/>
      <c r="O140" s="14"/>
      <c r="P140" s="18" t="s">
        <v>351</v>
      </c>
      <c r="Q140" s="10"/>
      <c r="R140" s="10"/>
      <c r="S140" s="10"/>
    </row>
    <row r="141" spans="1:19" x14ac:dyDescent="0.25">
      <c r="A141" s="14" t="s">
        <v>352</v>
      </c>
      <c r="B141" s="15">
        <v>74361274</v>
      </c>
      <c r="C141" s="16" t="s">
        <v>184</v>
      </c>
      <c r="D141" s="14"/>
      <c r="E141" s="14"/>
      <c r="F141" s="15">
        <v>74361274</v>
      </c>
      <c r="G141" s="16" t="str">
        <f>VLOOKUP(Tabla26[[#This Row],[CC CONDUCTOR]],[1]!Tabla3[#Data],2,FALSE)</f>
        <v>FABIAN BERMUDES</v>
      </c>
      <c r="H141" s="14"/>
      <c r="I141" s="14"/>
      <c r="J141" s="17">
        <v>45882</v>
      </c>
      <c r="K141" s="5">
        <v>46066</v>
      </c>
      <c r="L141" s="17">
        <v>45884</v>
      </c>
      <c r="M141" s="2">
        <v>10000</v>
      </c>
      <c r="N141" s="15"/>
      <c r="O141" s="14"/>
      <c r="P141" s="18"/>
      <c r="Q141" s="9"/>
      <c r="R141" s="9"/>
      <c r="S141" s="9"/>
    </row>
    <row r="142" spans="1:19" s="12" customFormat="1" x14ac:dyDescent="0.25">
      <c r="A142" s="14" t="s">
        <v>353</v>
      </c>
      <c r="B142" s="15">
        <v>52541478</v>
      </c>
      <c r="C142" s="16" t="s">
        <v>38</v>
      </c>
      <c r="D142" s="14" t="s">
        <v>116</v>
      </c>
      <c r="E142" s="14">
        <v>3183118181</v>
      </c>
      <c r="F142" s="15">
        <v>11343390</v>
      </c>
      <c r="G142" s="16" t="str">
        <f>VLOOKUP(Tabla26[[#This Row],[CC CONDUCTOR]],[1]!Tabla3[#Data],2,FALSE)</f>
        <v>OSCAR GOMEZ</v>
      </c>
      <c r="H142" s="14"/>
      <c r="I142" s="14"/>
      <c r="J142" s="17">
        <v>45776</v>
      </c>
      <c r="K142" s="5">
        <v>46511</v>
      </c>
      <c r="L142" s="17">
        <v>45902</v>
      </c>
      <c r="M142" s="2">
        <v>10000</v>
      </c>
      <c r="N142" s="15"/>
      <c r="O142" s="14"/>
      <c r="P142" s="18"/>
      <c r="Q142" s="10"/>
      <c r="R142" s="10"/>
      <c r="S142" s="10"/>
    </row>
    <row r="143" spans="1:19" x14ac:dyDescent="0.25">
      <c r="A143" s="14" t="s">
        <v>354</v>
      </c>
      <c r="B143" s="15">
        <v>79065013</v>
      </c>
      <c r="C143" s="16" t="s">
        <v>355</v>
      </c>
      <c r="D143" s="14"/>
      <c r="E143" s="14"/>
      <c r="F143" s="15"/>
      <c r="G143" s="16" t="e">
        <f>VLOOKUP(Tabla26[[#This Row],[CC CONDUCTOR]],[1]!Tabla3[#Data],2,FALSE)</f>
        <v>#N/A</v>
      </c>
      <c r="H143" s="14"/>
      <c r="I143" s="14"/>
      <c r="J143" s="17">
        <v>45274</v>
      </c>
      <c r="K143" s="5">
        <v>45640</v>
      </c>
      <c r="L143" s="17">
        <v>45263</v>
      </c>
      <c r="M143" s="2">
        <v>10000</v>
      </c>
      <c r="N143" s="15"/>
      <c r="O143" s="14"/>
      <c r="P143" s="18"/>
      <c r="Q143" s="9"/>
      <c r="R143" s="9"/>
      <c r="S143" s="9"/>
    </row>
    <row r="144" spans="1:19" x14ac:dyDescent="0.25">
      <c r="A144" s="14" t="s">
        <v>356</v>
      </c>
      <c r="B144" s="15">
        <v>1069584531</v>
      </c>
      <c r="C144" s="16" t="s">
        <v>357</v>
      </c>
      <c r="D144" s="14" t="s">
        <v>358</v>
      </c>
      <c r="E144" s="14"/>
      <c r="F144" s="15">
        <v>1069584531</v>
      </c>
      <c r="G144" s="16" t="str">
        <f>VLOOKUP(Tabla26[[#This Row],[CC CONDUCTOR]],[1]!Tabla3[#Data],2,FALSE)</f>
        <v>CRISTIAN CAMILO MORENO RAMIREZ</v>
      </c>
      <c r="H144" s="14"/>
      <c r="I144" s="14"/>
      <c r="J144" s="17">
        <v>45514</v>
      </c>
      <c r="K144" s="5">
        <v>45703</v>
      </c>
      <c r="L144" s="17">
        <v>45596</v>
      </c>
      <c r="M144" s="2">
        <v>10000</v>
      </c>
      <c r="N144" s="15"/>
      <c r="O144" s="14"/>
      <c r="P144" s="18"/>
      <c r="Q144" s="9"/>
      <c r="R144" s="9"/>
      <c r="S144" s="9"/>
    </row>
    <row r="145" spans="1:19" x14ac:dyDescent="0.25">
      <c r="A145" s="14" t="s">
        <v>359</v>
      </c>
      <c r="B145" s="15">
        <v>9015290801</v>
      </c>
      <c r="C145" s="16" t="s">
        <v>196</v>
      </c>
      <c r="D145" s="14"/>
      <c r="E145" s="14"/>
      <c r="F145" s="15">
        <v>1022396207</v>
      </c>
      <c r="G145" s="16" t="str">
        <f>VLOOKUP(Tabla26[[#This Row],[CC CONDUCTOR]],[1]!Tabla3[#Data],2,FALSE)</f>
        <v>DUBAN RICARDO CARDONA MUÑOZ</v>
      </c>
      <c r="H145" s="14"/>
      <c r="I145" s="14"/>
      <c r="J145" s="17">
        <v>45567</v>
      </c>
      <c r="K145" s="5">
        <v>45560</v>
      </c>
      <c r="L145" s="17">
        <v>45484</v>
      </c>
      <c r="M145" s="2">
        <v>10000</v>
      </c>
      <c r="N145" s="15"/>
      <c r="O145" s="14"/>
      <c r="P145" s="18"/>
      <c r="Q145" s="9"/>
      <c r="R145" s="9"/>
      <c r="S145" s="9"/>
    </row>
    <row r="146" spans="1:19" s="12" customFormat="1" x14ac:dyDescent="0.25">
      <c r="A146" s="14" t="s">
        <v>360</v>
      </c>
      <c r="B146" s="15">
        <v>1056688224</v>
      </c>
      <c r="C146" s="16" t="s">
        <v>232</v>
      </c>
      <c r="D146" s="14"/>
      <c r="E146" s="14"/>
      <c r="F146" s="15"/>
      <c r="G146" s="16" t="e">
        <f>VLOOKUP(Tabla26[[#This Row],[CC CONDUCTOR]],[1]!Tabla3[#Data],2,FALSE)</f>
        <v>#N/A</v>
      </c>
      <c r="H146" s="14"/>
      <c r="I146" s="14"/>
      <c r="J146" s="17">
        <v>45352</v>
      </c>
      <c r="K146" s="5">
        <v>45303</v>
      </c>
      <c r="L146" s="17">
        <v>45375</v>
      </c>
      <c r="M146" s="2">
        <v>10000</v>
      </c>
      <c r="N146" s="15"/>
      <c r="O146" s="14"/>
      <c r="P146" s="18"/>
      <c r="Q146" s="10"/>
      <c r="R146" s="10"/>
      <c r="S146" s="10"/>
    </row>
    <row r="147" spans="1:19" s="12" customFormat="1" x14ac:dyDescent="0.25">
      <c r="A147" s="14" t="s">
        <v>361</v>
      </c>
      <c r="B147" s="15">
        <v>9003528381</v>
      </c>
      <c r="C147" s="16" t="s">
        <v>69</v>
      </c>
      <c r="D147" s="14" t="s">
        <v>81</v>
      </c>
      <c r="E147" s="14">
        <v>3124484887</v>
      </c>
      <c r="F147" s="15">
        <v>79127559</v>
      </c>
      <c r="G147" s="16" t="str">
        <f>VLOOKUP(Tabla26[[#This Row],[CC CONDUCTOR]],[1]!Tabla3[#Data],2,FALSE)</f>
        <v>OSWALDO RODRIGUEZ</v>
      </c>
      <c r="H147" s="14"/>
      <c r="I147" s="14"/>
      <c r="J147" s="17">
        <v>45445</v>
      </c>
      <c r="K147" s="5">
        <v>45734</v>
      </c>
      <c r="L147" s="17">
        <v>45505</v>
      </c>
      <c r="M147" s="2">
        <v>10000</v>
      </c>
      <c r="N147" s="15"/>
      <c r="O147" s="14"/>
      <c r="P147" s="18" t="s">
        <v>362</v>
      </c>
      <c r="Q147" s="10"/>
      <c r="R147" s="10"/>
      <c r="S147" s="10"/>
    </row>
    <row r="148" spans="1:19" x14ac:dyDescent="0.25">
      <c r="A148" s="14" t="s">
        <v>363</v>
      </c>
      <c r="B148" s="15">
        <v>1072168560</v>
      </c>
      <c r="C148" s="16" t="s">
        <v>364</v>
      </c>
      <c r="D148" s="14"/>
      <c r="E148" s="14"/>
      <c r="F148" s="15">
        <v>1073517782</v>
      </c>
      <c r="G148" s="16" t="str">
        <f>VLOOKUP(Tabla26[[#This Row],[CC CONDUCTOR]],[1]!Tabla3[#Data],2,FALSE)</f>
        <v>JESUS ALBERTO MEDINA</v>
      </c>
      <c r="H148" s="14"/>
      <c r="I148" s="14"/>
      <c r="J148" s="17">
        <v>45230</v>
      </c>
      <c r="K148" s="5">
        <v>45692</v>
      </c>
      <c r="L148" s="17">
        <v>45311</v>
      </c>
      <c r="M148" s="2">
        <v>10000</v>
      </c>
      <c r="N148" s="15"/>
      <c r="O148" s="14"/>
      <c r="P148" s="18"/>
      <c r="Q148" s="9"/>
      <c r="R148" s="9"/>
      <c r="S148" s="9"/>
    </row>
    <row r="149" spans="1:19" x14ac:dyDescent="0.25">
      <c r="A149" s="14" t="s">
        <v>365</v>
      </c>
      <c r="B149" s="15">
        <v>52541478</v>
      </c>
      <c r="C149" s="16" t="s">
        <v>38</v>
      </c>
      <c r="D149" s="14"/>
      <c r="E149" s="14"/>
      <c r="F149" s="15">
        <v>1073502827</v>
      </c>
      <c r="G149" s="16" t="str">
        <f>VLOOKUP(Tabla26[[#This Row],[CC CONDUCTOR]],[1]!Tabla3[#Data],2,FALSE)</f>
        <v>EDWIN CAMILO SUAREZ CRUZ</v>
      </c>
      <c r="H149" s="14"/>
      <c r="I149" s="14"/>
      <c r="J149" s="17">
        <v>45431</v>
      </c>
      <c r="K149" s="5">
        <v>46122</v>
      </c>
      <c r="L149" s="17">
        <v>45470</v>
      </c>
      <c r="M149" s="2">
        <v>10000</v>
      </c>
      <c r="N149" s="15"/>
      <c r="O149" s="14"/>
      <c r="P149" s="18"/>
      <c r="Q149" s="9"/>
      <c r="R149" s="9"/>
      <c r="S149" s="9"/>
    </row>
    <row r="150" spans="1:19" s="12" customFormat="1" x14ac:dyDescent="0.25">
      <c r="A150" s="14" t="s">
        <v>366</v>
      </c>
      <c r="B150" s="15">
        <v>1051473328</v>
      </c>
      <c r="C150" s="16" t="s">
        <v>367</v>
      </c>
      <c r="D150" s="14" t="s">
        <v>368</v>
      </c>
      <c r="E150" s="14"/>
      <c r="F150" s="15">
        <v>1051473328</v>
      </c>
      <c r="G150" s="16" t="str">
        <f>VLOOKUP(Tabla26[[#This Row],[CC CONDUCTOR]],[1]!Tabla3[#Data],2,FALSE)</f>
        <v>OSCAR MAURICIO MONTAÑA</v>
      </c>
      <c r="H150" s="14" t="s">
        <v>368</v>
      </c>
      <c r="I150" s="14"/>
      <c r="J150" s="17">
        <v>45344</v>
      </c>
      <c r="K150" s="5">
        <v>46104</v>
      </c>
      <c r="L150" s="17">
        <v>45345</v>
      </c>
      <c r="M150" s="2">
        <v>10000</v>
      </c>
      <c r="N150" s="15"/>
      <c r="O150" s="14"/>
      <c r="P150" s="18" t="s">
        <v>369</v>
      </c>
      <c r="Q150" s="10"/>
      <c r="R150" s="10"/>
      <c r="S150" s="10"/>
    </row>
    <row r="151" spans="1:19" s="12" customFormat="1" x14ac:dyDescent="0.25">
      <c r="A151" s="14" t="s">
        <v>370</v>
      </c>
      <c r="B151" s="15">
        <v>79063368</v>
      </c>
      <c r="C151" s="16" t="s">
        <v>168</v>
      </c>
      <c r="D151" s="14" t="s">
        <v>169</v>
      </c>
      <c r="E151" s="14">
        <v>3007596231</v>
      </c>
      <c r="F151" s="15">
        <v>79063368</v>
      </c>
      <c r="G151" s="16" t="str">
        <f>VLOOKUP(Tabla26[[#This Row],[CC CONDUCTOR]],[1]!Tabla3[#Data],2,FALSE)</f>
        <v>CARLOS GERMAN CALDERON TORRES</v>
      </c>
      <c r="H151" s="14" t="s">
        <v>371</v>
      </c>
      <c r="I151" s="14">
        <v>3224839930</v>
      </c>
      <c r="J151" s="17">
        <v>45504</v>
      </c>
      <c r="K151" s="5">
        <v>45803</v>
      </c>
      <c r="L151" s="17">
        <v>45506</v>
      </c>
      <c r="M151" s="2">
        <v>10000</v>
      </c>
      <c r="N151" s="15"/>
      <c r="O151" s="14">
        <v>175889117</v>
      </c>
      <c r="P151" s="18" t="s">
        <v>372</v>
      </c>
      <c r="Q151" s="10"/>
      <c r="R151" s="10"/>
      <c r="S151" s="10"/>
    </row>
    <row r="152" spans="1:19" s="27" customFormat="1" x14ac:dyDescent="0.25">
      <c r="A152" s="14" t="s">
        <v>373</v>
      </c>
      <c r="B152" s="15">
        <v>1030522226</v>
      </c>
      <c r="C152" s="16" t="s">
        <v>374</v>
      </c>
      <c r="D152" s="14" t="s">
        <v>375</v>
      </c>
      <c r="E152" s="14"/>
      <c r="F152" s="15">
        <v>1071549808</v>
      </c>
      <c r="G152" s="16" t="str">
        <f>VLOOKUP(Tabla26[[#This Row],[CC CONDUCTOR]],[1]!Tabla3[#Data],2,FALSE)</f>
        <v>MIGUEL RODRIGUEZ</v>
      </c>
      <c r="H152" s="14"/>
      <c r="I152" s="14"/>
      <c r="J152" s="17">
        <v>45528</v>
      </c>
      <c r="K152" s="5">
        <v>45670</v>
      </c>
      <c r="L152" s="17">
        <v>45532</v>
      </c>
      <c r="M152" s="2">
        <v>10000</v>
      </c>
      <c r="N152" s="15"/>
      <c r="O152" s="14"/>
      <c r="P152" s="18" t="s">
        <v>376</v>
      </c>
      <c r="Q152" s="26"/>
      <c r="R152" s="26"/>
      <c r="S152" s="26"/>
    </row>
    <row r="153" spans="1:19" x14ac:dyDescent="0.25">
      <c r="A153" s="14" t="s">
        <v>377</v>
      </c>
      <c r="B153" s="15">
        <v>4188891</v>
      </c>
      <c r="C153" s="16" t="s">
        <v>378</v>
      </c>
      <c r="D153" s="14"/>
      <c r="E153" s="14"/>
      <c r="F153" s="15">
        <v>1032475261</v>
      </c>
      <c r="G153" s="16" t="str">
        <f>VLOOKUP(Tabla26[[#This Row],[CC CONDUCTOR]],[1]!Tabla3[#Data],2,FALSE)</f>
        <v>CAMILO ANDRES CASTILLO GOMEZ</v>
      </c>
      <c r="H153" s="14" t="s">
        <v>379</v>
      </c>
      <c r="I153" s="14"/>
      <c r="J153" s="17">
        <v>45283</v>
      </c>
      <c r="K153" s="5">
        <v>45893</v>
      </c>
      <c r="L153" s="17" t="s">
        <v>67</v>
      </c>
      <c r="M153" s="2">
        <v>10000</v>
      </c>
      <c r="N153" s="15"/>
      <c r="O153" s="14"/>
      <c r="P153" s="18"/>
      <c r="Q153" s="9"/>
      <c r="R153" s="9"/>
      <c r="S153" s="9"/>
    </row>
    <row r="154" spans="1:19" x14ac:dyDescent="0.25">
      <c r="A154" s="14" t="s">
        <v>380</v>
      </c>
      <c r="B154" s="15">
        <v>80384007</v>
      </c>
      <c r="C154" s="16" t="s">
        <v>381</v>
      </c>
      <c r="D154" s="14"/>
      <c r="E154" s="14"/>
      <c r="F154" s="15">
        <v>1073246673</v>
      </c>
      <c r="G154" s="16" t="str">
        <f>VLOOKUP(Tabla26[[#This Row],[CC CONDUCTOR]],[1]!Tabla3[#Data],2,FALSE)</f>
        <v>AUGUSTO DURAN</v>
      </c>
      <c r="H154" s="14"/>
      <c r="I154" s="14"/>
      <c r="J154" s="17">
        <v>45392</v>
      </c>
      <c r="K154" s="5">
        <v>45906</v>
      </c>
      <c r="L154" s="17">
        <v>45287</v>
      </c>
      <c r="M154" s="2">
        <v>10000</v>
      </c>
      <c r="N154" s="15"/>
      <c r="O154" s="14"/>
      <c r="P154" s="18"/>
      <c r="Q154" s="9"/>
      <c r="R154" s="9"/>
      <c r="S154" s="9"/>
    </row>
    <row r="155" spans="1:19" x14ac:dyDescent="0.25">
      <c r="A155" s="14" t="s">
        <v>382</v>
      </c>
      <c r="B155" s="15">
        <v>9003528381</v>
      </c>
      <c r="C155" s="16" t="s">
        <v>69</v>
      </c>
      <c r="D155" s="14" t="s">
        <v>81</v>
      </c>
      <c r="E155" s="14">
        <v>3124484887</v>
      </c>
      <c r="F155" s="15"/>
      <c r="G155" s="16" t="e">
        <f>VLOOKUP(Tabla26[[#This Row],[CC CONDUCTOR]],[1]!Tabla3[#Data],2,FALSE)</f>
        <v>#N/A</v>
      </c>
      <c r="H155" s="14"/>
      <c r="I155" s="14"/>
      <c r="J155" s="17">
        <v>45265</v>
      </c>
      <c r="K155" s="5">
        <v>45670</v>
      </c>
      <c r="L155" s="17">
        <v>45316</v>
      </c>
      <c r="M155" s="2">
        <v>10000</v>
      </c>
      <c r="N155" s="15">
        <v>175908292</v>
      </c>
      <c r="O155" s="14"/>
      <c r="P155" s="18"/>
      <c r="Q155" s="9"/>
      <c r="R155" s="9"/>
      <c r="S155" s="9"/>
    </row>
    <row r="156" spans="1:19" s="12" customFormat="1" x14ac:dyDescent="0.25">
      <c r="A156" s="14" t="s">
        <v>383</v>
      </c>
      <c r="B156" s="15">
        <v>9014592052</v>
      </c>
      <c r="C156" s="16" t="s">
        <v>60</v>
      </c>
      <c r="D156" s="14" t="s">
        <v>61</v>
      </c>
      <c r="E156" s="14">
        <v>3208771806</v>
      </c>
      <c r="F156" s="15">
        <v>1069736384</v>
      </c>
      <c r="G156" s="16" t="str">
        <f>VLOOKUP(Tabla26[[#This Row],[CC CONDUCTOR]],[1]!Tabla3[#Data],2,FALSE)</f>
        <v>YONATAN MEDINA</v>
      </c>
      <c r="H156" s="14" t="s">
        <v>384</v>
      </c>
      <c r="I156" s="14">
        <v>3219877859</v>
      </c>
      <c r="J156" s="17">
        <v>45378</v>
      </c>
      <c r="K156" s="5">
        <v>45697</v>
      </c>
      <c r="L156" s="17">
        <v>45472</v>
      </c>
      <c r="M156" s="2">
        <v>10000</v>
      </c>
      <c r="N156" s="15"/>
      <c r="O156" s="14">
        <v>175886389</v>
      </c>
      <c r="P156" s="18"/>
      <c r="Q156" s="10"/>
      <c r="R156" s="10"/>
      <c r="S156" s="10"/>
    </row>
    <row r="157" spans="1:19" s="12" customFormat="1" x14ac:dyDescent="0.25">
      <c r="A157" s="14" t="s">
        <v>385</v>
      </c>
      <c r="B157" s="15">
        <v>9014592052</v>
      </c>
      <c r="C157" s="16" t="s">
        <v>60</v>
      </c>
      <c r="D157" s="14" t="s">
        <v>61</v>
      </c>
      <c r="E157" s="14">
        <v>3208771806</v>
      </c>
      <c r="F157" s="15"/>
      <c r="G157" s="16" t="e">
        <f>VLOOKUP(Tabla26[[#This Row],[CC CONDUCTOR]],[1]!Tabla3[#Data],2,FALSE)</f>
        <v>#N/A</v>
      </c>
      <c r="H157" s="14"/>
      <c r="I157" s="14"/>
      <c r="J157" s="17">
        <v>45112</v>
      </c>
      <c r="K157" s="5">
        <v>45734</v>
      </c>
      <c r="L157" s="17">
        <v>45104</v>
      </c>
      <c r="M157" s="2">
        <v>10000</v>
      </c>
      <c r="N157" s="15"/>
      <c r="O157" s="14"/>
      <c r="P157" s="18"/>
      <c r="Q157" s="10"/>
      <c r="R157" s="10"/>
      <c r="S157" s="10"/>
    </row>
    <row r="158" spans="1:19" s="12" customFormat="1" x14ac:dyDescent="0.25">
      <c r="A158" s="14" t="s">
        <v>386</v>
      </c>
      <c r="B158" s="15">
        <v>9014592052</v>
      </c>
      <c r="C158" s="16" t="s">
        <v>60</v>
      </c>
      <c r="D158" s="14" t="s">
        <v>61</v>
      </c>
      <c r="E158" s="14">
        <v>3208771806</v>
      </c>
      <c r="F158" s="15">
        <v>11343390</v>
      </c>
      <c r="G158" s="16" t="str">
        <f>VLOOKUP(Tabla26[[#This Row],[CC CONDUCTOR]],[1]!Tabla3[#Data],2,FALSE)</f>
        <v>OSCAR GOMEZ</v>
      </c>
      <c r="H158" s="14"/>
      <c r="I158" s="14"/>
      <c r="J158" s="17">
        <v>45072</v>
      </c>
      <c r="K158" s="5">
        <v>45415</v>
      </c>
      <c r="L158" s="17">
        <v>45122</v>
      </c>
      <c r="M158" s="2">
        <v>10000</v>
      </c>
      <c r="N158" s="15"/>
      <c r="O158" s="14"/>
      <c r="P158" s="18" t="s">
        <v>387</v>
      </c>
      <c r="Q158" s="10"/>
      <c r="R158" s="10"/>
      <c r="S158" s="10"/>
    </row>
    <row r="159" spans="1:19" s="12" customFormat="1" x14ac:dyDescent="0.25">
      <c r="A159" s="14" t="s">
        <v>388</v>
      </c>
      <c r="B159" s="15">
        <v>1053724836</v>
      </c>
      <c r="C159" s="16" t="s">
        <v>389</v>
      </c>
      <c r="D159" s="14"/>
      <c r="E159" s="14"/>
      <c r="F159" s="15">
        <v>1053724836</v>
      </c>
      <c r="G159" s="16" t="e">
        <f>VLOOKUP(Tabla26[[#This Row],[CC CONDUCTOR]],[1]!Tabla3[#Data],2,FALSE)</f>
        <v>#N/A</v>
      </c>
      <c r="H159" s="14"/>
      <c r="I159" s="14"/>
      <c r="J159" s="17">
        <v>45493</v>
      </c>
      <c r="K159" s="5">
        <v>45488</v>
      </c>
      <c r="L159" s="17">
        <v>45532</v>
      </c>
      <c r="M159" s="2">
        <v>10000</v>
      </c>
      <c r="N159" s="15"/>
      <c r="O159" s="14"/>
      <c r="P159" s="18"/>
      <c r="Q159" s="10"/>
      <c r="R159" s="10"/>
      <c r="S159" s="10"/>
    </row>
    <row r="160" spans="1:19" s="12" customFormat="1" x14ac:dyDescent="0.25">
      <c r="A160" s="14" t="s">
        <v>390</v>
      </c>
      <c r="B160" s="15">
        <v>9015290801</v>
      </c>
      <c r="C160" s="16" t="s">
        <v>196</v>
      </c>
      <c r="D160" s="14"/>
      <c r="E160" s="14"/>
      <c r="F160" s="15">
        <v>80146537</v>
      </c>
      <c r="G160" s="16" t="str">
        <f>VLOOKUP(Tabla26[[#This Row],[CC CONDUCTOR]],[1]!Tabla3[#Data],2,FALSE)</f>
        <v>NELSON EFREN ORTIZ PATIÑO</v>
      </c>
      <c r="H160" s="14"/>
      <c r="I160" s="14"/>
      <c r="J160" s="17"/>
      <c r="K160" s="5"/>
      <c r="L160" s="17"/>
      <c r="M160" s="2">
        <v>10000</v>
      </c>
      <c r="N160" s="15"/>
      <c r="O160" s="14"/>
      <c r="P160" s="18"/>
      <c r="Q160" s="10"/>
      <c r="R160" s="10"/>
      <c r="S160" s="10"/>
    </row>
    <row r="161" spans="1:19" s="12" customFormat="1" x14ac:dyDescent="0.25">
      <c r="A161" s="14" t="s">
        <v>391</v>
      </c>
      <c r="B161" s="15">
        <v>1056688727</v>
      </c>
      <c r="C161" s="16" t="s">
        <v>312</v>
      </c>
      <c r="D161" s="14"/>
      <c r="E161" s="14"/>
      <c r="F161" s="15">
        <v>1007542631</v>
      </c>
      <c r="G161" s="16" t="str">
        <f>VLOOKUP(Tabla26[[#This Row],[CC CONDUCTOR]],[1]!Tabla3[#Data],2,FALSE)</f>
        <v>DIEGO MARTINEZ</v>
      </c>
      <c r="H161" s="14"/>
      <c r="I161" s="14"/>
      <c r="J161" s="17">
        <v>45251</v>
      </c>
      <c r="K161" s="5">
        <v>46329</v>
      </c>
      <c r="L161" s="17">
        <v>45353</v>
      </c>
      <c r="M161" s="2">
        <v>10000</v>
      </c>
      <c r="N161" s="15"/>
      <c r="O161" s="14"/>
      <c r="P161" s="18"/>
      <c r="Q161" s="10"/>
      <c r="R161" s="10"/>
      <c r="S161" s="10"/>
    </row>
    <row r="162" spans="1:19" x14ac:dyDescent="0.25">
      <c r="A162" s="14" t="s">
        <v>392</v>
      </c>
      <c r="B162" s="15">
        <v>74335175</v>
      </c>
      <c r="C162" s="16" t="s">
        <v>393</v>
      </c>
      <c r="D162" s="14" t="s">
        <v>394</v>
      </c>
      <c r="E162" s="14">
        <v>3112327776</v>
      </c>
      <c r="F162" s="15">
        <v>74335175</v>
      </c>
      <c r="G162" s="16" t="str">
        <f>VLOOKUP(Tabla26[[#This Row],[CC CONDUCTOR]],[1]!Tabla3[#Data],2,FALSE)</f>
        <v>LUIS MARTIN CHAVES RODRIGUEZ</v>
      </c>
      <c r="H162" s="14" t="s">
        <v>394</v>
      </c>
      <c r="I162" s="14">
        <v>3112327776</v>
      </c>
      <c r="J162" s="17">
        <v>45414</v>
      </c>
      <c r="K162" s="5">
        <v>45541</v>
      </c>
      <c r="L162" s="17">
        <v>45480</v>
      </c>
      <c r="M162" s="2">
        <v>10000</v>
      </c>
      <c r="N162" s="15"/>
      <c r="O162" s="14">
        <v>175885278</v>
      </c>
      <c r="P162" s="18"/>
      <c r="Q162" s="9"/>
      <c r="R162" s="9"/>
      <c r="S162" s="9"/>
    </row>
    <row r="163" spans="1:19" s="12" customFormat="1" x14ac:dyDescent="0.25">
      <c r="A163" s="14" t="s">
        <v>395</v>
      </c>
      <c r="B163" s="15">
        <v>74361274</v>
      </c>
      <c r="C163" s="16" t="s">
        <v>184</v>
      </c>
      <c r="D163" s="14" t="s">
        <v>396</v>
      </c>
      <c r="E163" s="14">
        <v>3103941048</v>
      </c>
      <c r="F163" s="15">
        <v>74361274</v>
      </c>
      <c r="G163" s="16" t="str">
        <f>VLOOKUP(Tabla26[[#This Row],[CC CONDUCTOR]],[1]!Tabla3[#Data],2,FALSE)</f>
        <v>FABIAN BERMUDES</v>
      </c>
      <c r="H163" s="14"/>
      <c r="I163" s="14"/>
      <c r="J163" s="17">
        <v>45534</v>
      </c>
      <c r="K163" s="5">
        <v>46066</v>
      </c>
      <c r="L163" s="17">
        <v>45480</v>
      </c>
      <c r="M163" s="2">
        <v>10000</v>
      </c>
      <c r="N163" s="15">
        <v>175885288</v>
      </c>
      <c r="O163" s="14">
        <v>175885107</v>
      </c>
      <c r="P163" s="18"/>
      <c r="Q163" s="10"/>
      <c r="R163" s="10"/>
      <c r="S163" s="10"/>
    </row>
    <row r="164" spans="1:19" x14ac:dyDescent="0.25">
      <c r="A164" s="14" t="s">
        <v>397</v>
      </c>
      <c r="B164" s="15">
        <v>11259334</v>
      </c>
      <c r="C164" s="16" t="s">
        <v>398</v>
      </c>
      <c r="D164" s="14"/>
      <c r="E164" s="14"/>
      <c r="F164" s="15">
        <v>1069716415</v>
      </c>
      <c r="G164" s="16" t="str">
        <f>VLOOKUP(Tabla26[[#This Row],[CC CONDUCTOR]],[1]!Tabla3[#Data],2,FALSE)</f>
        <v>SERGIO ANDRES  ROJAS MALDONADO</v>
      </c>
      <c r="H164" s="14"/>
      <c r="I164" s="14">
        <v>3208830570</v>
      </c>
      <c r="J164" s="17">
        <v>45289</v>
      </c>
      <c r="K164" s="5">
        <v>45885</v>
      </c>
      <c r="L164" s="17">
        <v>45338</v>
      </c>
      <c r="M164" s="2">
        <v>10000</v>
      </c>
      <c r="N164" s="15"/>
      <c r="O164" s="14"/>
      <c r="P164" s="18"/>
      <c r="Q164" s="9"/>
      <c r="R164" s="9"/>
      <c r="S164" s="9"/>
    </row>
    <row r="165" spans="1:19" s="27" customFormat="1" x14ac:dyDescent="0.25">
      <c r="A165" s="14" t="s">
        <v>399</v>
      </c>
      <c r="B165" s="15">
        <v>1233499041</v>
      </c>
      <c r="C165" s="16" t="s">
        <v>400</v>
      </c>
      <c r="D165" s="14"/>
      <c r="E165" s="14"/>
      <c r="F165" s="15">
        <v>1022936785</v>
      </c>
      <c r="G165" s="16" t="e">
        <f>VLOOKUP(Tabla26[[#This Row],[CC CONDUCTOR]],[1]!Tabla3[#Data],2,FALSE)</f>
        <v>#N/A</v>
      </c>
      <c r="H165" s="14"/>
      <c r="I165" s="14"/>
      <c r="J165" s="17"/>
      <c r="K165" s="5"/>
      <c r="L165" s="17"/>
      <c r="M165" s="2">
        <v>10000</v>
      </c>
      <c r="N165" s="15"/>
      <c r="O165" s="14"/>
      <c r="P165" s="18"/>
      <c r="Q165" s="26"/>
      <c r="R165" s="26"/>
      <c r="S165" s="26"/>
    </row>
    <row r="166" spans="1:19" x14ac:dyDescent="0.25">
      <c r="A166" s="14" t="s">
        <v>401</v>
      </c>
      <c r="B166" s="15">
        <v>74335241</v>
      </c>
      <c r="C166" s="16" t="s">
        <v>402</v>
      </c>
      <c r="D166" s="14"/>
      <c r="E166" s="14"/>
      <c r="F166" s="15">
        <v>74335871</v>
      </c>
      <c r="G166" s="16" t="str">
        <f>VLOOKUP(Tabla26[[#This Row],[CC CONDUCTOR]],[1]!Tabla3[#Data],2,FALSE)</f>
        <v>NOE ASDRUBAL BERNAL MARTIN</v>
      </c>
      <c r="H166" s="14"/>
      <c r="I166" s="14"/>
      <c r="J166" s="17">
        <v>45500</v>
      </c>
      <c r="K166" s="5">
        <v>45994</v>
      </c>
      <c r="L166" s="17">
        <v>45528</v>
      </c>
      <c r="M166" s="2">
        <v>10000</v>
      </c>
      <c r="N166" s="15"/>
      <c r="O166" s="14"/>
      <c r="P166" s="18"/>
      <c r="Q166" s="9"/>
      <c r="R166" s="9"/>
      <c r="S166" s="9"/>
    </row>
    <row r="167" spans="1:19" x14ac:dyDescent="0.25">
      <c r="A167" s="14" t="s">
        <v>403</v>
      </c>
      <c r="B167" s="15">
        <v>1072592158</v>
      </c>
      <c r="C167" s="16" t="s">
        <v>404</v>
      </c>
      <c r="D167" s="14"/>
      <c r="E167" s="14"/>
      <c r="F167" s="15">
        <v>1072593333</v>
      </c>
      <c r="G167" s="16" t="str">
        <f>VLOOKUP(Tabla26[[#This Row],[CC CONDUCTOR]],[1]!Tabla3[#Data],2,FALSE)</f>
        <v>JHON SMITH CARDOZO TORRES</v>
      </c>
      <c r="H167" s="14"/>
      <c r="I167" s="14"/>
      <c r="J167" s="17"/>
      <c r="K167" s="5">
        <v>45656</v>
      </c>
      <c r="L167" s="17"/>
      <c r="M167" s="2">
        <v>10000</v>
      </c>
      <c r="N167" s="15"/>
      <c r="O167" s="14"/>
      <c r="P167" s="18"/>
      <c r="Q167" s="9"/>
      <c r="R167" s="9"/>
      <c r="S167" s="9"/>
    </row>
    <row r="168" spans="1:19" x14ac:dyDescent="0.25">
      <c r="A168" s="14" t="s">
        <v>405</v>
      </c>
      <c r="B168" s="15">
        <v>3141240</v>
      </c>
      <c r="C168" s="16" t="s">
        <v>406</v>
      </c>
      <c r="D168" s="14" t="s">
        <v>407</v>
      </c>
      <c r="E168" s="14"/>
      <c r="F168" s="15">
        <v>3141240</v>
      </c>
      <c r="G168" s="16" t="str">
        <f>VLOOKUP(Tabla26[[#This Row],[CC CONDUCTOR]],[1]!Tabla3[#Data],2,FALSE)</f>
        <v>CESAR ARTEMIO AGUILERA ARDILA</v>
      </c>
      <c r="H168" s="14"/>
      <c r="I168" s="14"/>
      <c r="J168" s="17">
        <v>45432</v>
      </c>
      <c r="K168" s="5"/>
      <c r="L168" s="17">
        <v>45485</v>
      </c>
      <c r="M168" s="2">
        <v>10000</v>
      </c>
      <c r="N168" s="15"/>
      <c r="O168" s="14"/>
      <c r="P168" s="18"/>
      <c r="Q168" s="9"/>
      <c r="R168" s="9"/>
      <c r="S168" s="9"/>
    </row>
    <row r="169" spans="1:19" x14ac:dyDescent="0.25">
      <c r="A169" s="14" t="s">
        <v>408</v>
      </c>
      <c r="B169" s="15">
        <v>8600588314</v>
      </c>
      <c r="C169" s="16" t="s">
        <v>100</v>
      </c>
      <c r="D169" s="14"/>
      <c r="E169" s="14"/>
      <c r="F169" s="15">
        <v>1053724701</v>
      </c>
      <c r="G169" s="16" t="str">
        <f>VLOOKUP(Tabla26[[#This Row],[CC CONDUCTOR]],[1]!Tabla3[#Data],2,FALSE)</f>
        <v>WILSON ALBERTO ALFONSO RUIZ</v>
      </c>
      <c r="H169" s="14"/>
      <c r="I169" s="14"/>
      <c r="J169" s="17">
        <v>46195</v>
      </c>
      <c r="K169" s="24">
        <v>45788</v>
      </c>
      <c r="L169" s="17">
        <v>46029</v>
      </c>
      <c r="M169" s="15">
        <v>10000</v>
      </c>
      <c r="N169" s="15"/>
      <c r="O169" s="14"/>
      <c r="P169" s="18"/>
      <c r="Q169" s="9"/>
      <c r="R169" s="9"/>
      <c r="S169" s="9"/>
    </row>
    <row r="170" spans="1:19" s="12" customFormat="1" x14ac:dyDescent="0.25">
      <c r="A170" s="14" t="s">
        <v>409</v>
      </c>
      <c r="B170" s="15">
        <v>9003528381</v>
      </c>
      <c r="C170" s="16" t="s">
        <v>69</v>
      </c>
      <c r="D170" s="14" t="s">
        <v>81</v>
      </c>
      <c r="E170" s="14">
        <v>3124484887</v>
      </c>
      <c r="F170" s="15"/>
      <c r="G170" s="16" t="e">
        <f>VLOOKUP(Tabla26[[#This Row],[CC CONDUCTOR]],[1]!Tabla3[#Data],2,FALSE)</f>
        <v>#N/A</v>
      </c>
      <c r="H170" s="14"/>
      <c r="I170" s="14"/>
      <c r="J170" s="17">
        <v>45349</v>
      </c>
      <c r="K170" s="5">
        <v>45444</v>
      </c>
      <c r="L170" s="17">
        <v>45349</v>
      </c>
      <c r="M170" s="2">
        <v>10000</v>
      </c>
      <c r="N170" s="15"/>
      <c r="O170" s="14"/>
      <c r="P170" s="18"/>
      <c r="Q170" s="10"/>
      <c r="R170" s="10"/>
      <c r="S170" s="10"/>
    </row>
    <row r="171" spans="1:19" x14ac:dyDescent="0.25">
      <c r="A171" s="14" t="s">
        <v>410</v>
      </c>
      <c r="B171" s="15">
        <v>9003528381</v>
      </c>
      <c r="C171" s="16" t="s">
        <v>69</v>
      </c>
      <c r="D171" s="14" t="s">
        <v>81</v>
      </c>
      <c r="E171" s="14"/>
      <c r="F171" s="15">
        <v>1003614290</v>
      </c>
      <c r="G171" s="16" t="str">
        <f>VLOOKUP(Tabla26[[#This Row],[CC CONDUCTOR]],[1]!Tabla3[#Data],2,FALSE)</f>
        <v>LUIS MIGUEL HERRERA LOPEZ</v>
      </c>
      <c r="H171" s="14"/>
      <c r="I171" s="14"/>
      <c r="J171" s="17">
        <v>45705</v>
      </c>
      <c r="K171" s="5">
        <v>46360</v>
      </c>
      <c r="L171" s="17">
        <v>45711</v>
      </c>
      <c r="M171" s="2">
        <v>10000</v>
      </c>
      <c r="N171" s="15"/>
      <c r="O171" s="14"/>
      <c r="P171" s="18" t="s">
        <v>411</v>
      </c>
      <c r="Q171" s="9"/>
      <c r="R171" s="9"/>
      <c r="S171" s="9"/>
    </row>
    <row r="172" spans="1:19" x14ac:dyDescent="0.25">
      <c r="A172" s="14" t="s">
        <v>412</v>
      </c>
      <c r="B172" s="15">
        <v>4188891</v>
      </c>
      <c r="C172" s="16" t="s">
        <v>378</v>
      </c>
      <c r="D172" s="14"/>
      <c r="E172" s="14"/>
      <c r="F172" s="15">
        <v>1057074163</v>
      </c>
      <c r="G172" s="16" t="str">
        <f>VLOOKUP(Tabla26[[#This Row],[CC CONDUCTOR]],[1]!Tabla3[#Data],2,FALSE)</f>
        <v>JOSE GUILLERMO PORRAS FRANCO</v>
      </c>
      <c r="H172" s="14" t="s">
        <v>413</v>
      </c>
      <c r="I172" s="14"/>
      <c r="J172" s="17">
        <v>45286</v>
      </c>
      <c r="K172" s="5">
        <v>46070</v>
      </c>
      <c r="L172" s="17">
        <v>45304</v>
      </c>
      <c r="M172" s="2">
        <v>10000</v>
      </c>
      <c r="N172" s="15"/>
      <c r="O172" s="14"/>
      <c r="P172" s="18"/>
      <c r="Q172" s="9"/>
      <c r="R172" s="9"/>
      <c r="S172" s="9"/>
    </row>
    <row r="173" spans="1:19" x14ac:dyDescent="0.25">
      <c r="A173" s="14" t="s">
        <v>414</v>
      </c>
      <c r="B173" s="15">
        <v>74335065</v>
      </c>
      <c r="C173" s="16" t="s">
        <v>415</v>
      </c>
      <c r="D173" s="14"/>
      <c r="E173" s="14"/>
      <c r="F173" s="15">
        <v>1053724088</v>
      </c>
      <c r="G173" s="16" t="str">
        <f>VLOOKUP(Tabla26[[#This Row],[CC CONDUCTOR]],[1]!Tabla3[#Data],2,FALSE)</f>
        <v>OSCAR HERNAN FRANCO PARRA</v>
      </c>
      <c r="H173" s="14"/>
      <c r="I173" s="14"/>
      <c r="J173" s="17">
        <v>45568</v>
      </c>
      <c r="K173" s="5">
        <v>45445</v>
      </c>
      <c r="L173" s="17">
        <v>45246</v>
      </c>
      <c r="M173" s="2">
        <v>10000</v>
      </c>
      <c r="N173" s="15"/>
      <c r="O173" s="14"/>
      <c r="P173" s="18"/>
      <c r="Q173" s="9"/>
      <c r="R173" s="9"/>
      <c r="S173" s="9"/>
    </row>
    <row r="174" spans="1:19" x14ac:dyDescent="0.25">
      <c r="A174" s="14" t="s">
        <v>416</v>
      </c>
      <c r="B174" s="15">
        <v>51893417</v>
      </c>
      <c r="C174" s="16" t="s">
        <v>417</v>
      </c>
      <c r="D174" s="14"/>
      <c r="E174" s="14"/>
      <c r="F174" s="15">
        <v>10183244</v>
      </c>
      <c r="G174" s="16" t="str">
        <f>VLOOKUP(Tabla26[[#This Row],[CC CONDUCTOR]],[1]!Tabla3[#Data],2,FALSE)</f>
        <v>YUMAR RUEDA CAMPOS</v>
      </c>
      <c r="H174" s="14"/>
      <c r="I174" s="14"/>
      <c r="J174" s="17">
        <v>45495</v>
      </c>
      <c r="K174" s="5">
        <v>45604</v>
      </c>
      <c r="L174" s="17">
        <v>45514</v>
      </c>
      <c r="M174" s="2">
        <v>10000</v>
      </c>
      <c r="N174" s="15"/>
      <c r="O174" s="14"/>
      <c r="P174" s="18"/>
      <c r="Q174" s="9"/>
      <c r="R174" s="9"/>
      <c r="S174" s="9"/>
    </row>
    <row r="175" spans="1:19" x14ac:dyDescent="0.25">
      <c r="A175" s="14" t="s">
        <v>418</v>
      </c>
      <c r="B175" s="15">
        <v>2948514</v>
      </c>
      <c r="C175" s="16" t="s">
        <v>25</v>
      </c>
      <c r="D175" s="14" t="s">
        <v>419</v>
      </c>
      <c r="E175" s="14">
        <v>3102691810</v>
      </c>
      <c r="F175" s="15">
        <v>2948514</v>
      </c>
      <c r="G175" s="16" t="str">
        <f>VLOOKUP(Tabla26[[#This Row],[CC CONDUCTOR]],[1]!Tabla3[#Data],2,FALSE)</f>
        <v>JONATAN CASTILLO FLOREZ</v>
      </c>
      <c r="H175" s="14" t="s">
        <v>419</v>
      </c>
      <c r="I175" s="14">
        <v>3102691810</v>
      </c>
      <c r="J175" s="17">
        <v>45491</v>
      </c>
      <c r="K175" s="5">
        <v>45716</v>
      </c>
      <c r="L175" s="17">
        <v>45497</v>
      </c>
      <c r="M175" s="2">
        <v>10000</v>
      </c>
      <c r="N175" s="15"/>
      <c r="O175" s="14">
        <v>175884275</v>
      </c>
      <c r="P175" s="18"/>
      <c r="Q175" s="9"/>
      <c r="R175" s="9"/>
      <c r="S175" s="9"/>
    </row>
    <row r="176" spans="1:19" s="12" customFormat="1" x14ac:dyDescent="0.25">
      <c r="A176" s="14" t="s">
        <v>420</v>
      </c>
      <c r="B176" s="15"/>
      <c r="C176" s="16" t="s">
        <v>421</v>
      </c>
      <c r="D176" s="14"/>
      <c r="E176" s="14"/>
      <c r="F176" s="15">
        <v>74335772</v>
      </c>
      <c r="G176" s="16" t="str">
        <f>VLOOKUP(Tabla26[[#This Row],[CC CONDUCTOR]],[1]!Tabla3[#Data],2,FALSE)</f>
        <v>JORGE ERNESTO DUEÑAS MENDOZA</v>
      </c>
      <c r="H176" s="14"/>
      <c r="I176" s="14"/>
      <c r="J176" s="17">
        <v>46046</v>
      </c>
      <c r="K176" s="17" t="str">
        <f>VLOOKUP(Tabla26[[#This Row],[CC CONDUCTOR]],[1]!Tabla3[#All],6,TRUE)</f>
        <v>SRO568</v>
      </c>
      <c r="L176" s="17">
        <v>46087</v>
      </c>
      <c r="M176" s="15">
        <v>10000</v>
      </c>
      <c r="N176" s="15"/>
      <c r="O176" s="14"/>
      <c r="P176" s="18"/>
      <c r="Q176" s="10"/>
      <c r="R176" s="10"/>
      <c r="S176" s="10"/>
    </row>
    <row r="177" spans="1:19" x14ac:dyDescent="0.25">
      <c r="A177" s="14" t="s">
        <v>422</v>
      </c>
      <c r="B177" s="15">
        <v>1069584367</v>
      </c>
      <c r="C177" s="16" t="s">
        <v>423</v>
      </c>
      <c r="D177" s="14"/>
      <c r="E177" s="14"/>
      <c r="F177" s="15">
        <v>79065013</v>
      </c>
      <c r="G177" s="16" t="str">
        <f>VLOOKUP(Tabla26[[#This Row],[CC CONDUCTOR]],[1]!Tabla3[#Data],2,FALSE)</f>
        <v>RODRIGO OVALLE MORENO</v>
      </c>
      <c r="H177" s="14"/>
      <c r="I177" s="14"/>
      <c r="J177" s="17">
        <v>45245</v>
      </c>
      <c r="K177" s="5">
        <v>45640</v>
      </c>
      <c r="L177" s="17">
        <v>45241</v>
      </c>
      <c r="M177" s="2">
        <v>10000</v>
      </c>
      <c r="N177" s="15"/>
      <c r="O177" s="14"/>
      <c r="P177" s="18"/>
      <c r="Q177" s="9"/>
      <c r="R177" s="9"/>
      <c r="S177" s="9"/>
    </row>
    <row r="178" spans="1:19" s="12" customFormat="1" x14ac:dyDescent="0.25">
      <c r="A178" s="14" t="s">
        <v>424</v>
      </c>
      <c r="B178" s="15">
        <v>23682218</v>
      </c>
      <c r="C178" s="16" t="s">
        <v>425</v>
      </c>
      <c r="D178" s="14">
        <v>1056688163</v>
      </c>
      <c r="E178" s="14"/>
      <c r="F178" s="15">
        <v>1056686616</v>
      </c>
      <c r="G178" s="16" t="str">
        <f>VLOOKUP(Tabla26[[#This Row],[CC CONDUCTOR]],[1]!Tabla3[#Data],2,FALSE)</f>
        <v>HAROLD DAVIAN FERNANDEZ CARVAJAL</v>
      </c>
      <c r="H178" s="14"/>
      <c r="I178" s="14"/>
      <c r="J178" s="17">
        <v>45972</v>
      </c>
      <c r="K178" s="17">
        <v>45777</v>
      </c>
      <c r="L178" s="17">
        <v>45972</v>
      </c>
      <c r="M178" s="15">
        <v>10000</v>
      </c>
      <c r="N178" s="15"/>
      <c r="O178" s="14"/>
      <c r="P178" s="18"/>
      <c r="Q178" s="10"/>
      <c r="R178" s="10"/>
      <c r="S178" s="10"/>
    </row>
    <row r="179" spans="1:19" x14ac:dyDescent="0.25">
      <c r="A179" s="14" t="s">
        <v>426</v>
      </c>
      <c r="B179" s="15">
        <v>1048848640</v>
      </c>
      <c r="C179" s="16" t="s">
        <v>322</v>
      </c>
      <c r="D179" s="14"/>
      <c r="E179" s="14"/>
      <c r="F179" s="15">
        <v>1048849505</v>
      </c>
      <c r="G179" s="16" t="str">
        <f>VLOOKUP(Tabla26[[#This Row],[CC CONDUCTOR]],[1]!Tabla3[#Data],2,FALSE)</f>
        <v>YEFERSON ALEXIS ALFONSO AGUIRRE</v>
      </c>
      <c r="H179" s="14"/>
      <c r="I179" s="14"/>
      <c r="J179" s="17">
        <v>45536</v>
      </c>
      <c r="K179" s="5">
        <v>45639</v>
      </c>
      <c r="L179" s="17">
        <v>45450</v>
      </c>
      <c r="M179" s="2">
        <v>10000</v>
      </c>
      <c r="N179" s="15"/>
      <c r="O179" s="14"/>
      <c r="P179" s="18"/>
      <c r="Q179" s="9"/>
      <c r="R179" s="9"/>
      <c r="S179" s="9"/>
    </row>
    <row r="180" spans="1:19" s="12" customFormat="1" x14ac:dyDescent="0.25">
      <c r="A180" s="14" t="s">
        <v>427</v>
      </c>
      <c r="B180" s="15">
        <v>351816</v>
      </c>
      <c r="C180" s="16" t="s">
        <v>428</v>
      </c>
      <c r="D180" s="14"/>
      <c r="E180" s="14"/>
      <c r="F180" s="15">
        <v>1072895700</v>
      </c>
      <c r="G180" s="16" t="str">
        <f>VLOOKUP(Tabla26[[#This Row],[CC CONDUCTOR]],[1]!Tabla3[#Data],2,FALSE)</f>
        <v>EDISON LEONEL CRUZ ROMERO</v>
      </c>
      <c r="H180" s="14"/>
      <c r="I180" s="14"/>
      <c r="J180" s="17">
        <v>45715</v>
      </c>
      <c r="K180" s="5">
        <v>45730</v>
      </c>
      <c r="L180" s="17">
        <v>45709</v>
      </c>
      <c r="M180" s="2">
        <v>10000</v>
      </c>
      <c r="N180" s="15"/>
      <c r="O180" s="14"/>
      <c r="P180" s="18"/>
      <c r="Q180" s="10"/>
      <c r="R180" s="10"/>
      <c r="S180" s="10"/>
    </row>
    <row r="181" spans="1:19" s="12" customFormat="1" x14ac:dyDescent="0.25">
      <c r="A181" s="14" t="s">
        <v>429</v>
      </c>
      <c r="B181" s="15">
        <v>2965207</v>
      </c>
      <c r="C181" s="16" t="s">
        <v>430</v>
      </c>
      <c r="D181" s="14"/>
      <c r="E181" s="14"/>
      <c r="F181" s="15">
        <v>2965207</v>
      </c>
      <c r="G181" s="16" t="str">
        <f>VLOOKUP(Tabla26[[#This Row],[CC CONDUCTOR]],[1]!Tabla3[#Data],2,FALSE)</f>
        <v>PEDRO PABLO VALDERRAMA DELGADILLO</v>
      </c>
      <c r="H181" s="14"/>
      <c r="I181" s="14"/>
      <c r="J181" s="17">
        <v>45780</v>
      </c>
      <c r="K181" s="5">
        <v>46197</v>
      </c>
      <c r="L181" s="17">
        <v>45516</v>
      </c>
      <c r="M181" s="2">
        <v>10000</v>
      </c>
      <c r="N181" s="15"/>
      <c r="O181" s="14"/>
      <c r="P181" s="18"/>
      <c r="Q181" s="10"/>
      <c r="R181" s="10"/>
      <c r="S181" s="10"/>
    </row>
    <row r="182" spans="1:19" s="12" customFormat="1" x14ac:dyDescent="0.25">
      <c r="A182" s="14" t="s">
        <v>431</v>
      </c>
      <c r="B182" s="15">
        <v>4274312</v>
      </c>
      <c r="C182" s="16" t="s">
        <v>151</v>
      </c>
      <c r="D182" s="14"/>
      <c r="E182" s="14"/>
      <c r="F182" s="15"/>
      <c r="G182" s="16" t="e">
        <f>VLOOKUP(Tabla26[[#This Row],[CC CONDUCTOR]],[1]!Tabla3[#Data],2,FALSE)</f>
        <v>#N/A</v>
      </c>
      <c r="H182" s="14"/>
      <c r="I182" s="14"/>
      <c r="J182" s="17">
        <v>45255</v>
      </c>
      <c r="K182" s="5"/>
      <c r="L182" s="17">
        <v>45255</v>
      </c>
      <c r="M182" s="2">
        <v>10000</v>
      </c>
      <c r="N182" s="15"/>
      <c r="O182" s="14"/>
      <c r="P182" s="18"/>
      <c r="Q182" s="10"/>
      <c r="R182" s="10"/>
      <c r="S182" s="10"/>
    </row>
    <row r="183" spans="1:19" s="12" customFormat="1" x14ac:dyDescent="0.25">
      <c r="A183" s="14" t="s">
        <v>432</v>
      </c>
      <c r="B183" s="15">
        <v>4188891</v>
      </c>
      <c r="C183" s="16" t="s">
        <v>378</v>
      </c>
      <c r="D183" s="14"/>
      <c r="E183" s="14"/>
      <c r="F183" s="15">
        <v>1022437280</v>
      </c>
      <c r="G183" s="16" t="str">
        <f>VLOOKUP(Tabla26[[#This Row],[CC CONDUCTOR]],[1]!Tabla3[#Data],2,FALSE)</f>
        <v>WILMER ALEXANDER RAMIREZ MORENO</v>
      </c>
      <c r="H183" s="14" t="s">
        <v>433</v>
      </c>
      <c r="I183" s="14">
        <v>3187262799</v>
      </c>
      <c r="J183" s="17">
        <v>45543</v>
      </c>
      <c r="K183" s="17">
        <v>46067</v>
      </c>
      <c r="L183" s="17">
        <v>45567</v>
      </c>
      <c r="M183" s="2">
        <v>10000</v>
      </c>
      <c r="N183" s="15"/>
      <c r="O183" s="14"/>
      <c r="P183" s="18"/>
      <c r="Q183" s="10"/>
      <c r="R183" s="10"/>
      <c r="S183" s="10"/>
    </row>
    <row r="184" spans="1:19" x14ac:dyDescent="0.25">
      <c r="A184" s="14" t="s">
        <v>434</v>
      </c>
      <c r="B184" s="15">
        <v>4188891</v>
      </c>
      <c r="C184" s="16" t="s">
        <v>378</v>
      </c>
      <c r="D184" s="14"/>
      <c r="E184" s="14"/>
      <c r="F184" s="15">
        <v>7334436</v>
      </c>
      <c r="G184" s="16" t="str">
        <f>VLOOKUP(Tabla26[[#This Row],[CC CONDUCTOR]],[1]!Tabla3[#Data],2,FALSE)</f>
        <v>OSCAR GIOVANNI PARADA MORA</v>
      </c>
      <c r="H184" s="14" t="s">
        <v>435</v>
      </c>
      <c r="I184" s="14"/>
      <c r="J184" s="17" t="s">
        <v>436</v>
      </c>
      <c r="K184" s="5">
        <v>46054</v>
      </c>
      <c r="L184" s="17">
        <v>45499</v>
      </c>
      <c r="M184" s="2">
        <v>10000</v>
      </c>
      <c r="N184" s="15"/>
      <c r="O184" s="14"/>
      <c r="P184" s="18" t="s">
        <v>437</v>
      </c>
      <c r="Q184" s="9"/>
      <c r="R184" s="9"/>
      <c r="S184" s="9"/>
    </row>
    <row r="185" spans="1:19" x14ac:dyDescent="0.25">
      <c r="A185" s="14" t="s">
        <v>438</v>
      </c>
      <c r="B185" s="15">
        <v>395839</v>
      </c>
      <c r="C185" s="16" t="s">
        <v>439</v>
      </c>
      <c r="D185" s="14" t="s">
        <v>440</v>
      </c>
      <c r="E185" s="14">
        <v>3132195302</v>
      </c>
      <c r="F185" s="15">
        <v>82394418</v>
      </c>
      <c r="G185" s="16" t="str">
        <f>VLOOKUP(Tabla26[[#This Row],[CC CONDUCTOR]],[1]!Tabla3[#Data],2,FALSE)</f>
        <v>JORGE ERNESTO QUEVEDO USME</v>
      </c>
      <c r="H185" s="14"/>
      <c r="I185" s="14">
        <v>3132195302</v>
      </c>
      <c r="J185" s="17">
        <v>45514</v>
      </c>
      <c r="K185" s="5">
        <v>45282</v>
      </c>
      <c r="L185" s="17">
        <v>45502</v>
      </c>
      <c r="M185" s="2">
        <v>10000</v>
      </c>
      <c r="N185" s="15"/>
      <c r="O185" s="14"/>
      <c r="P185" s="18" t="s">
        <v>441</v>
      </c>
      <c r="Q185" s="9"/>
      <c r="R185" s="9"/>
      <c r="S185" s="9"/>
    </row>
    <row r="186" spans="1:19" x14ac:dyDescent="0.25">
      <c r="A186" s="14" t="s">
        <v>442</v>
      </c>
      <c r="B186" s="15">
        <v>2964702</v>
      </c>
      <c r="C186" s="16" t="s">
        <v>49</v>
      </c>
      <c r="D186" s="14"/>
      <c r="E186" s="14"/>
      <c r="F186" s="15">
        <v>79273554</v>
      </c>
      <c r="G186" s="16" t="str">
        <f>VLOOKUP(Tabla26[[#This Row],[CC CONDUCTOR]],[1]!Tabla3[#Data],2,FALSE)</f>
        <v>EDGAR BARON</v>
      </c>
      <c r="H186" s="14"/>
      <c r="I186" s="14"/>
      <c r="J186" s="17">
        <v>45442</v>
      </c>
      <c r="K186" s="17">
        <v>46005</v>
      </c>
      <c r="L186" s="17">
        <v>45460</v>
      </c>
      <c r="M186" s="2">
        <v>10000</v>
      </c>
      <c r="N186" s="15"/>
      <c r="O186" s="14"/>
      <c r="P186" s="18" t="s">
        <v>443</v>
      </c>
      <c r="Q186" s="9"/>
      <c r="R186" s="9"/>
      <c r="S186" s="9"/>
    </row>
    <row r="187" spans="1:19" s="12" customFormat="1" x14ac:dyDescent="0.25">
      <c r="A187" s="14" t="s">
        <v>444</v>
      </c>
      <c r="B187" s="15">
        <v>80019698</v>
      </c>
      <c r="C187" s="16" t="s">
        <v>133</v>
      </c>
      <c r="D187" s="14"/>
      <c r="E187" s="14"/>
      <c r="F187" s="15">
        <v>81740016</v>
      </c>
      <c r="G187" s="16" t="str">
        <f>VLOOKUP(Tabla26[[#This Row],[CC CONDUCTOR]],[1]!Tabla3[#Data],2,FALSE)</f>
        <v>NESTOR GERMAN ACOSTA TOVAR</v>
      </c>
      <c r="H187" s="14"/>
      <c r="I187" s="14"/>
      <c r="J187" s="17">
        <v>45401</v>
      </c>
      <c r="K187" s="17">
        <v>45703</v>
      </c>
      <c r="L187" s="17">
        <v>45186</v>
      </c>
      <c r="M187" s="2">
        <v>10000</v>
      </c>
      <c r="N187" s="15"/>
      <c r="O187" s="14"/>
      <c r="P187" s="18"/>
      <c r="Q187" s="10"/>
      <c r="R187" s="10"/>
      <c r="S187" s="10"/>
    </row>
    <row r="188" spans="1:19" s="12" customFormat="1" x14ac:dyDescent="0.25">
      <c r="A188" s="14" t="s">
        <v>445</v>
      </c>
      <c r="B188" s="15">
        <v>1053724912</v>
      </c>
      <c r="C188" s="16" t="s">
        <v>446</v>
      </c>
      <c r="D188" s="14"/>
      <c r="E188" s="14"/>
      <c r="F188" s="15">
        <v>1053724660</v>
      </c>
      <c r="G188" s="16" t="str">
        <f>VLOOKUP(Tabla26[[#This Row],[CC CONDUCTOR]],[1]!Tabla3[#Data],2,FALSE)</f>
        <v>WILMER DANILO GONZALO VARGAS</v>
      </c>
      <c r="H188" s="14"/>
      <c r="I188" s="14"/>
      <c r="J188" s="17">
        <v>45256</v>
      </c>
      <c r="K188" s="5">
        <v>45100</v>
      </c>
      <c r="L188" s="17">
        <v>45258</v>
      </c>
      <c r="M188" s="2">
        <v>10000</v>
      </c>
      <c r="N188" s="15"/>
      <c r="O188" s="14"/>
      <c r="P188" s="18" t="s">
        <v>447</v>
      </c>
      <c r="Q188" s="10"/>
      <c r="R188" s="10"/>
      <c r="S188" s="10"/>
    </row>
    <row r="189" spans="1:19" s="12" customFormat="1" x14ac:dyDescent="0.25">
      <c r="A189" s="14" t="s">
        <v>448</v>
      </c>
      <c r="B189" s="15">
        <v>1077034517</v>
      </c>
      <c r="C189" s="16" t="s">
        <v>449</v>
      </c>
      <c r="D189" s="14"/>
      <c r="E189" s="14"/>
      <c r="F189" s="15">
        <v>80538852</v>
      </c>
      <c r="G189" s="16" t="str">
        <f>VLOOKUP(Tabla26[[#This Row],[CC CONDUCTOR]],[1]!Tabla3[#Data],2,FALSE)</f>
        <v>VIRGILIO CARDENAS</v>
      </c>
      <c r="H189" s="14"/>
      <c r="I189" s="14"/>
      <c r="J189" s="17">
        <v>45174</v>
      </c>
      <c r="K189" s="5">
        <v>45165</v>
      </c>
      <c r="L189" s="17">
        <v>45175</v>
      </c>
      <c r="M189" s="2">
        <v>10000</v>
      </c>
      <c r="N189" s="15"/>
      <c r="O189" s="14"/>
      <c r="P189" s="18"/>
      <c r="Q189" s="10"/>
      <c r="R189" s="10"/>
      <c r="S189" s="10"/>
    </row>
    <row r="190" spans="1:19" s="12" customFormat="1" x14ac:dyDescent="0.25">
      <c r="A190" s="14" t="s">
        <v>450</v>
      </c>
      <c r="B190" s="15">
        <v>13617613</v>
      </c>
      <c r="C190" s="16" t="s">
        <v>276</v>
      </c>
      <c r="D190" s="14"/>
      <c r="E190" s="14"/>
      <c r="F190" s="15">
        <v>13617613</v>
      </c>
      <c r="G190" s="16" t="str">
        <f>VLOOKUP(Tabla26[[#This Row],[CC CONDUCTOR]],[1]!Tabla3[#Data],2,FALSE)</f>
        <v>JAIME JOSE AGUILERA MATEUS</v>
      </c>
      <c r="H190" s="14"/>
      <c r="I190" s="14"/>
      <c r="J190" s="17"/>
      <c r="K190" s="17"/>
      <c r="L190" s="17"/>
      <c r="M190" s="15">
        <v>10000</v>
      </c>
      <c r="N190" s="15"/>
      <c r="O190" s="14"/>
      <c r="P190" s="18"/>
      <c r="Q190" s="10"/>
      <c r="R190" s="10"/>
      <c r="S190" s="10"/>
    </row>
    <row r="191" spans="1:19" x14ac:dyDescent="0.25">
      <c r="K191" s="5"/>
    </row>
    <row r="192" spans="1:19" x14ac:dyDescent="0.25">
      <c r="K192" s="5"/>
    </row>
    <row r="193" spans="2:11" x14ac:dyDescent="0.25">
      <c r="K193" s="5"/>
    </row>
    <row r="194" spans="2:11" x14ac:dyDescent="0.25">
      <c r="K194" s="5"/>
    </row>
    <row r="201" spans="2:11" x14ac:dyDescent="0.25">
      <c r="B201" t="s">
        <v>451</v>
      </c>
    </row>
    <row r="202" spans="2:11" x14ac:dyDescent="0.25">
      <c r="B202" t="s">
        <v>452</v>
      </c>
    </row>
    <row r="203" spans="2:11" x14ac:dyDescent="0.25">
      <c r="B203" t="s">
        <v>453</v>
      </c>
    </row>
    <row r="204" spans="2:11" x14ac:dyDescent="0.25">
      <c r="B204" t="s">
        <v>454</v>
      </c>
    </row>
  </sheetData>
  <conditionalFormatting sqref="J120:M168 J42:J43 J78:M81 J107 J108:M108 J170:M186 J169 K113:K119 J3:J4 J75:J77 J29:J30 L29:M30 J97:L97 J109:J119 J91:M94 J51 J18:M21 J31:M31 K35:M37 J32:J37 J53:L53 J65 J41:M41 J66:M67 J70:M74 J68:J69 J15:J17 J22:J24 K2:K3 J60:J61 J82:K82 J83:J90 L54:M61 J55:K59 J39:J40 J5:M14 J25:M28 L32:M34 J44:M50 L82:M90 M95:M106 J99:L106 J98 L98 J62:M64 L107:M107 L109:M119 L169:M169 L187:M190 J54 M52:M53 L39:M40 L42:M43 L51:M51 I95:L96 L2:M4 L15:M17 L22:M24 M38 L65:M65 L68:M69 L75:M77 L52">
    <cfRule type="cellIs" dxfId="49" priority="47" operator="between">
      <formula>$Q$1</formula>
      <formula>$R$1</formula>
    </cfRule>
  </conditionalFormatting>
  <conditionalFormatting sqref="J191 L191:M191">
    <cfRule type="cellIs" dxfId="48" priority="48" operator="between">
      <formula>$Q$1</formula>
      <formula>$R$1</formula>
    </cfRule>
  </conditionalFormatting>
  <conditionalFormatting sqref="J97:M97">
    <cfRule type="cellIs" dxfId="47" priority="46" operator="between">
      <formula>$Q$1</formula>
      <formula>$R$1</formula>
    </cfRule>
  </conditionalFormatting>
  <conditionalFormatting sqref="J187:J190">
    <cfRule type="cellIs" dxfId="46" priority="45" operator="between">
      <formula>$Q$1</formula>
      <formula>$R$1</formula>
    </cfRule>
  </conditionalFormatting>
  <conditionalFormatting sqref="J2">
    <cfRule type="cellIs" dxfId="45" priority="44" operator="between">
      <formula>$Q$1</formula>
      <formula>$R$1</formula>
    </cfRule>
  </conditionalFormatting>
  <conditionalFormatting sqref="K194">
    <cfRule type="cellIs" dxfId="44" priority="43" operator="between">
      <formula>$Q$1</formula>
      <formula>$R$1</formula>
    </cfRule>
  </conditionalFormatting>
  <conditionalFormatting sqref="K187:K193">
    <cfRule type="cellIs" dxfId="43" priority="42" operator="between">
      <formula>$Q$1</formula>
      <formula>$R$1</formula>
    </cfRule>
  </conditionalFormatting>
  <conditionalFormatting sqref="K42">
    <cfRule type="cellIs" dxfId="42" priority="41" operator="lessThan">
      <formula>45709</formula>
    </cfRule>
  </conditionalFormatting>
  <conditionalFormatting sqref="K86">
    <cfRule type="cellIs" dxfId="41" priority="40" operator="lessThan">
      <formula>45709</formula>
    </cfRule>
  </conditionalFormatting>
  <conditionalFormatting sqref="K169">
    <cfRule type="cellIs" dxfId="40" priority="39" operator="lessThan">
      <formula>45709</formula>
    </cfRule>
  </conditionalFormatting>
  <conditionalFormatting sqref="K111">
    <cfRule type="cellIs" dxfId="39" priority="38" operator="lessThan">
      <formula>45709</formula>
    </cfRule>
  </conditionalFormatting>
  <conditionalFormatting sqref="K15:K16">
    <cfRule type="cellIs" dxfId="38" priority="37" operator="lessThan">
      <formula>45709</formula>
    </cfRule>
  </conditionalFormatting>
  <conditionalFormatting sqref="K4">
    <cfRule type="cellIs" dxfId="37" priority="36" operator="lessThan">
      <formula>45709</formula>
    </cfRule>
  </conditionalFormatting>
  <conditionalFormatting sqref="K75">
    <cfRule type="cellIs" dxfId="36" priority="35" operator="lessThan">
      <formula>45709</formula>
    </cfRule>
  </conditionalFormatting>
  <conditionalFormatting sqref="K82">
    <cfRule type="cellIs" dxfId="35" priority="34" operator="lessThan">
      <formula>45709</formula>
    </cfRule>
  </conditionalFormatting>
  <conditionalFormatting sqref="K109">
    <cfRule type="cellIs" dxfId="34" priority="33" operator="lessThan">
      <formula>45709</formula>
    </cfRule>
  </conditionalFormatting>
  <conditionalFormatting sqref="K29:K30">
    <cfRule type="cellIs" dxfId="33" priority="32" operator="lessThan">
      <formula>45709</formula>
    </cfRule>
  </conditionalFormatting>
  <conditionalFormatting sqref="K98">
    <cfRule type="cellIs" dxfId="32" priority="31" operator="lessThan">
      <formula>45709</formula>
    </cfRule>
  </conditionalFormatting>
  <conditionalFormatting sqref="K51">
    <cfRule type="cellIs" dxfId="31" priority="30" operator="lessThan">
      <formula>45709</formula>
    </cfRule>
  </conditionalFormatting>
  <conditionalFormatting sqref="L17">
    <cfRule type="cellIs" dxfId="30" priority="29" operator="between">
      <formula>$Q$1</formula>
      <formula>$R$1</formula>
    </cfRule>
  </conditionalFormatting>
  <conditionalFormatting sqref="K76:K77">
    <cfRule type="cellIs" dxfId="29" priority="28" operator="lessThan">
      <formula>45709</formula>
    </cfRule>
  </conditionalFormatting>
  <conditionalFormatting sqref="K33">
    <cfRule type="cellIs" dxfId="28" priority="27" operator="lessThan">
      <formula>45709</formula>
    </cfRule>
  </conditionalFormatting>
  <conditionalFormatting sqref="K87 K89:K90">
    <cfRule type="cellIs" dxfId="27" priority="26" operator="lessThan">
      <formula>45709</formula>
    </cfRule>
  </conditionalFormatting>
  <conditionalFormatting sqref="L89:L90">
    <cfRule type="cellIs" dxfId="26" priority="25" operator="between">
      <formula>$Q$1</formula>
      <formula>$R$1</formula>
    </cfRule>
  </conditionalFormatting>
  <conditionalFormatting sqref="K61">
    <cfRule type="cellIs" dxfId="25" priority="24" operator="lessThan">
      <formula>45709</formula>
    </cfRule>
  </conditionalFormatting>
  <conditionalFormatting sqref="K43">
    <cfRule type="cellIs" dxfId="24" priority="23" operator="lessThan">
      <formula>45709</formula>
    </cfRule>
  </conditionalFormatting>
  <conditionalFormatting sqref="J52">
    <cfRule type="cellIs" dxfId="23" priority="22" operator="between">
      <formula>$Q$1</formula>
      <formula>$R$1</formula>
    </cfRule>
  </conditionalFormatting>
  <conditionalFormatting sqref="K52">
    <cfRule type="cellIs" dxfId="22" priority="21" operator="between">
      <formula>$Q$1</formula>
      <formula>$R$1</formula>
    </cfRule>
  </conditionalFormatting>
  <conditionalFormatting sqref="L53">
    <cfRule type="cellIs" dxfId="21" priority="20" operator="between">
      <formula>$Q$1</formula>
      <formula>$R$1</formula>
    </cfRule>
  </conditionalFormatting>
  <conditionalFormatting sqref="K110">
    <cfRule type="cellIs" dxfId="20" priority="19" operator="between">
      <formula>$Q$1</formula>
      <formula>$R$1</formula>
    </cfRule>
  </conditionalFormatting>
  <conditionalFormatting sqref="K112">
    <cfRule type="cellIs" dxfId="19" priority="18" operator="between">
      <formula>$Q$1</formula>
      <formula>$R$1</formula>
    </cfRule>
  </conditionalFormatting>
  <conditionalFormatting sqref="K65">
    <cfRule type="cellIs" dxfId="18" priority="17" operator="lessThan">
      <formula>45709</formula>
    </cfRule>
  </conditionalFormatting>
  <conditionalFormatting sqref="J38:L38">
    <cfRule type="cellIs" dxfId="17" priority="16" operator="lessThan">
      <formula>45709</formula>
    </cfRule>
  </conditionalFormatting>
  <conditionalFormatting sqref="K68:K69">
    <cfRule type="cellIs" dxfId="16" priority="15" operator="lessThan">
      <formula>45709</formula>
    </cfRule>
  </conditionalFormatting>
  <conditionalFormatting sqref="K22:K23">
    <cfRule type="cellIs" dxfId="15" priority="14" operator="lessThan">
      <formula>45709</formula>
    </cfRule>
  </conditionalFormatting>
  <conditionalFormatting sqref="K34">
    <cfRule type="cellIs" dxfId="14" priority="13" operator="lessThan">
      <formula>45709</formula>
    </cfRule>
  </conditionalFormatting>
  <conditionalFormatting sqref="K32">
    <cfRule type="cellIs" dxfId="13" priority="12" operator="lessThan">
      <formula>45709</formula>
    </cfRule>
  </conditionalFormatting>
  <conditionalFormatting sqref="K107">
    <cfRule type="cellIs" dxfId="12" priority="11" operator="lessThan">
      <formula>45709</formula>
    </cfRule>
  </conditionalFormatting>
  <conditionalFormatting sqref="K39">
    <cfRule type="cellIs" dxfId="11" priority="10" operator="lessThan">
      <formula>45709</formula>
    </cfRule>
  </conditionalFormatting>
  <conditionalFormatting sqref="K17">
    <cfRule type="cellIs" dxfId="10" priority="9" operator="lessThan">
      <formula>45709</formula>
    </cfRule>
  </conditionalFormatting>
  <conditionalFormatting sqref="K88">
    <cfRule type="cellIs" dxfId="9" priority="8" operator="between">
      <formula>$Q$1</formula>
      <formula>$R$1</formula>
    </cfRule>
  </conditionalFormatting>
  <conditionalFormatting sqref="K24">
    <cfRule type="cellIs" dxfId="8" priority="7" operator="lessThan">
      <formula>45709</formula>
    </cfRule>
  </conditionalFormatting>
  <conditionalFormatting sqref="K60">
    <cfRule type="cellIs" dxfId="7" priority="6" operator="lessThan">
      <formula>45709</formula>
    </cfRule>
  </conditionalFormatting>
  <conditionalFormatting sqref="K85">
    <cfRule type="cellIs" dxfId="6" priority="5" operator="lessThan">
      <formula>45709</formula>
    </cfRule>
  </conditionalFormatting>
  <conditionalFormatting sqref="K54">
    <cfRule type="cellIs" dxfId="5" priority="4" operator="lessThan">
      <formula>45709</formula>
    </cfRule>
  </conditionalFormatting>
  <conditionalFormatting sqref="K83:K84">
    <cfRule type="cellIs" dxfId="4" priority="3" operator="lessThan">
      <formula>45709</formula>
    </cfRule>
  </conditionalFormatting>
  <conditionalFormatting sqref="L56">
    <cfRule type="cellIs" dxfId="3" priority="2" operator="between">
      <formula>$Q$1</formula>
      <formula>$R$1</formula>
    </cfRule>
  </conditionalFormatting>
  <conditionalFormatting sqref="K40">
    <cfRule type="cellIs" dxfId="2" priority="1" operator="lessThan">
      <formula>45709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Franco</dc:creator>
  <cp:lastModifiedBy>Santiago Franco</cp:lastModifiedBy>
  <dcterms:created xsi:type="dcterms:W3CDTF">2026-01-05T20:49:54Z</dcterms:created>
  <dcterms:modified xsi:type="dcterms:W3CDTF">2026-01-05T20:50:10Z</dcterms:modified>
</cp:coreProperties>
</file>